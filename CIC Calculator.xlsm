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d.ing.net\WPS\GB\P\GD\000685\Tools\Inception Tools\"/>
    </mc:Choice>
  </mc:AlternateContent>
  <xr:revisionPtr revIDLastSave="0" documentId="13_ncr:1_{99BD94B9-78BF-4655-990C-7DC4D60E6DE0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Main" sheetId="3" r:id="rId1"/>
    <sheet name="Spot Capital calculation" sheetId="2" state="hidden" r:id="rId2"/>
    <sheet name="Statics" sheetId="4" state="hidden" r:id="rId3"/>
    <sheet name="RaceING FX" sheetId="7" state="hidden" r:id="rId4"/>
    <sheet name="Version Notes" sheetId="8" state="hidden" r:id="rId5"/>
    <sheet name="FTP curve" sheetId="6" state="hidden" r:id="rId6"/>
  </sheets>
  <functionGroups builtInGroupCount="19"/>
  <externalReferences>
    <externalReference r:id="rId7"/>
  </externalReferences>
  <definedNames>
    <definedName name="_xlnm._FilterDatabase" localSheetId="2" hidden="1">Statics!$F$1:$G$2510</definedName>
    <definedName name="Area_To_Copy">Main!$U$134:$X$148</definedName>
    <definedName name="AsOfDate">Main!$E$15</definedName>
    <definedName name="Average_Remaining_Notional">Main!$E$65</definedName>
    <definedName name="b">'Spot Capital calculation'!$X$2</definedName>
    <definedName name="Calculation_Details_Hide_From">Main!$AB$10</definedName>
    <definedName name="Calculation_Details_Hide_To">Main!$BD$11</definedName>
    <definedName name="Call_OR_Put">Main!$E$70</definedName>
    <definedName name="Capital_Approach">Main!$E$58</definedName>
    <definedName name="CCY">Main!$E$19</definedName>
    <definedName name="CCY_InputProfile">Main!$H$15</definedName>
    <definedName name="Country_Group">Main!$E$92</definedName>
    <definedName name="Country_Of_Residence">Main!$E$61</definedName>
    <definedName name="CSA_Frequency">Main!$E$52</definedName>
    <definedName name="CSA_IA">Main!$E$55</definedName>
    <definedName name="CSA_MTA_Threshold">Main!$E$53</definedName>
    <definedName name="CvaCapDiversificationRatio">Main!$E$45</definedName>
    <definedName name="CvaK_t_0">'Spot Capital calculation'!$AE$17</definedName>
    <definedName name="CvaK_t_0_CEM">'Spot Capital calculation'!$AE$2</definedName>
    <definedName name="CvaK_t_0_IMM_proxy">'Spot Capital calculation'!$AE$12</definedName>
    <definedName name="CvaK_t_0_SA_CCR">'Spot Capital calculation'!$AE$7</definedName>
    <definedName name="CvaKVA_Table_label">Main!$V$26</definedName>
    <definedName name="DefK_t_0">'Spot Capital calculation'!$AD$17</definedName>
    <definedName name="DefK_t_0_CEM">'Spot Capital calculation'!$AD$2</definedName>
    <definedName name="DefK_t_0_IMM_Proxy">'Spot Capital calculation'!$AD$12</definedName>
    <definedName name="DefK_t_0_SA_CCR">'Spot Capital calculation'!$AD$7</definedName>
    <definedName name="DefKVA_Table_label">Main!$V$25</definedName>
    <definedName name="Display_CvaKVA">Main!$W$140</definedName>
    <definedName name="Display_CvaRWA">Main!$W$145</definedName>
    <definedName name="Display_DefKVA">Main!$W$139</definedName>
    <definedName name="Display_DefRWA">Main!$W$146</definedName>
    <definedName name="Display_EADchangeVsCEM">Main!$W$41</definedName>
    <definedName name="Display_EL">Main!$W$138</definedName>
    <definedName name="Display_FVA">Main!$W$141</definedName>
    <definedName name="EarlyTerminationDate">Main!$E$23</definedName>
    <definedName name="Effective_Regulated">Main!$E$41</definedName>
    <definedName name="Enable_CVA_K">Main!$E$44</definedName>
    <definedName name="Enable_Default_K">Main!$E$39</definedName>
    <definedName name="Enable_FTP_Scalar">Main!$E$35</definedName>
    <definedName name="Enable_FVA">Main!$E$34</definedName>
    <definedName name="Exposure_Class">Main!$E$40</definedName>
    <definedName name="factor">Main!$AL$13</definedName>
    <definedName name="FTP_Scalar">Main!$E$86</definedName>
    <definedName name="FX_CCYEUR">Main!$E$90</definedName>
    <definedName name="Hazard_Rate_Date">Statics!$C$1</definedName>
    <definedName name="Hazard_Rate_Rating">Statics!$A$1</definedName>
    <definedName name="Hazard_Rate_Value">Statics!$D$1</definedName>
    <definedName name="Input_Date">Main!$G$17</definedName>
    <definedName name="Input_ENE">Main!$I$17</definedName>
    <definedName name="Input_ENE_Disc">Main!$BA$17</definedName>
    <definedName name="Input_ENE_NonDisc">Main!$AY$17</definedName>
    <definedName name="Input_EPE">Main!$H$17</definedName>
    <definedName name="Input_EPE_Disc">Main!$AZ$17</definedName>
    <definedName name="Input_EPE_NonDisc">Main!$AX$17</definedName>
    <definedName name="Input_FTP_spread">'FTP curve'!$D$4:$S$4</definedName>
    <definedName name="Input_FTP_tenor">'FTP curve'!$D$2:$S$2</definedName>
    <definedName name="Input_Remaining_Notional">Main!$J$17</definedName>
    <definedName name="Input_ZC_Date">Main!$L$17</definedName>
    <definedName name="Input_ZC_FTP_Date">Main!$O$17</definedName>
    <definedName name="Input_ZC_FTP_Value">Main!$P$17</definedName>
    <definedName name="Input_ZC_Value">Main!$M$17</definedName>
    <definedName name="Is_Basis">Main!$E$68</definedName>
    <definedName name="Is_Bullet">Main!#REF!</definedName>
    <definedName name="Is_CSA">Main!$E$51</definedName>
    <definedName name="Is_Option">Main!$E$69</definedName>
    <definedName name="Is_RWR_Commodity">Main!$E$60</definedName>
    <definedName name="Is_WWR_Equity">Main!$E$31</definedName>
    <definedName name="LGD">Main!$E$27</definedName>
    <definedName name="Mapping_Country_vs_Group">Statics!$AP:$AQ</definedName>
    <definedName name="Mapping_Group_vs_Haircut">Statics!$AS:$AT</definedName>
    <definedName name="Mapping_SACCR_Factors">Statics!$L$3:$P$15</definedName>
    <definedName name="Maturity">Main!$E$18</definedName>
    <definedName name="Notional_in_CCY">Main!$E$20</definedName>
    <definedName name="Option_Last_Expiry">Main!$E$72</definedName>
    <definedName name="Option_Moneyness">Main!$E$71</definedName>
    <definedName name="Output_CIC">Main!$W$29</definedName>
    <definedName name="Output_CIC_Breakdown">Main!$W$23</definedName>
    <definedName name="Output_CvaK">Main!$AS$17</definedName>
    <definedName name="Output_CvaK_cost">Main!$AT$17</definedName>
    <definedName name="Output_Date">Main!$AC$17</definedName>
    <definedName name="Output_DefK">Main!$AQ$17</definedName>
    <definedName name="Output_DefK_cost">Main!$AR$17</definedName>
    <definedName name="Output_DF">Main!$AF$17</definedName>
    <definedName name="Output_DF_FTP">Main!$AH$17</definedName>
    <definedName name="Output_DP_CP">Main!$AK$17</definedName>
    <definedName name="Output_DP_ING">Main!$AN$17</definedName>
    <definedName name="Output_EffectiveMaturity">Main!$E$88</definedName>
    <definedName name="Output_EffEE">Main!$BC$17</definedName>
    <definedName name="Output_Expected_Loss">Main!$AP$17</definedName>
    <definedName name="Output_FTP_spread">Main!$AU$17</definedName>
    <definedName name="Output_FTP_ZC">Main!$AG$17</definedName>
    <definedName name="Output_FundingBenefit">Main!$AW$17</definedName>
    <definedName name="Output_FundingCost">Main!$AV$17</definedName>
    <definedName name="Output_FVA">Main!$AW$17</definedName>
    <definedName name="Output_HazardRate_CP">Main!$AL$17</definedName>
    <definedName name="Output_HazardRate_ING">Main!$AO$17</definedName>
    <definedName name="Output_LGD">Main!$AI$17</definedName>
    <definedName name="Output_Maturity">Main!$AD$17</definedName>
    <definedName name="Output_Remaining_Notional">Main!$BB$17</definedName>
    <definedName name="Output_SP_CP">Main!$AJ$17</definedName>
    <definedName name="Output_SP_ING">Main!$AM$17</definedName>
    <definedName name="Output_ZC">Main!$AE$17</definedName>
    <definedName name="p_1">'Spot Capital calculation'!$M$2</definedName>
    <definedName name="p_2">'Spot Capital calculation'!$N$2</definedName>
    <definedName name="p_3">'Spot Capital calculation'!$O$2</definedName>
    <definedName name="p_4">'Spot Capital calculation'!$P$2</definedName>
    <definedName name="p_5">'Spot Capital calculation'!$Q$2</definedName>
    <definedName name="p_6">'Spot Capital calculation'!$R$2</definedName>
    <definedName name="PD1Y_Table">Statics!$F:$G</definedName>
    <definedName name="Product_Type">Main!$E$17</definedName>
    <definedName name="Product_Type_Main">'Spot Capital calculation'!$I$2</definedName>
    <definedName name="Product_Type_SA_CCR">'Spot Capital calculation'!$I$7</definedName>
    <definedName name="RaceING_FX">'RaceING FX'!$C:$D</definedName>
    <definedName name="Rating_CP">Main!$E$28</definedName>
    <definedName name="Rating_ING">Main!$E$77</definedName>
    <definedName name="Regulatory_Start_Date">Main!$E$66</definedName>
    <definedName name="Remaining_Maturity">'Spot Capital calculation'!$H$2</definedName>
    <definedName name="RoC_Hurdle">Main!$E$84</definedName>
    <definedName name="RoE">Main!$E$48</definedName>
    <definedName name="RWR_Haircut">Main!$E$93</definedName>
    <definedName name="RWR_Revalutation_Frequency">Main!$E$62</definedName>
    <definedName name="Spot_MTM_in_CCY">Main!$E$21</definedName>
    <definedName name="Total_Ann_Sales">Main!$E$42</definedName>
    <definedName name="Total_DefK_cost">Main!$AR$14</definedName>
    <definedName name="Trade_MtM">Main!$V$21</definedName>
    <definedName name="Underlying_Maturity_Date">Main!$E$67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18" i="3" l="1"/>
  <c r="E15" i="3"/>
  <c r="E18" i="3" s="1"/>
  <c r="Q12" i="2" l="1"/>
  <c r="T12" i="2" s="1"/>
  <c r="V41" i="3" l="1"/>
  <c r="V42" i="3" l="1"/>
  <c r="V29" i="3"/>
  <c r="W38" i="3" l="1"/>
  <c r="I2" i="2" l="1"/>
  <c r="E66" i="3" l="1"/>
  <c r="C9" i="2" l="1"/>
  <c r="I7" i="2" l="1"/>
  <c r="K7" i="2" l="1"/>
  <c r="N7" i="2"/>
  <c r="L7" i="2"/>
  <c r="V135" i="3" l="1"/>
  <c r="C2" i="2" l="1"/>
  <c r="G2" i="2" l="1"/>
  <c r="J8" i="2"/>
  <c r="D3" i="2"/>
  <c r="E86" i="3"/>
  <c r="D2" i="2" l="1"/>
  <c r="P8" i="2"/>
  <c r="J7" i="2"/>
  <c r="E83" i="3"/>
  <c r="E84" i="3" s="1"/>
  <c r="B2" i="2" l="1"/>
  <c r="S2" i="2" l="1"/>
  <c r="V2" i="2"/>
  <c r="S7" i="2" l="1"/>
  <c r="S12" i="2"/>
  <c r="U2" i="2"/>
  <c r="M7" i="2" a="1"/>
  <c r="U7" i="2" l="1"/>
  <c r="U12" i="2"/>
  <c r="M7" i="2"/>
  <c r="X2" i="2"/>
  <c r="F7" i="2" l="1"/>
  <c r="R2" i="2"/>
  <c r="P2" i="2"/>
  <c r="O2" i="2"/>
  <c r="N2" i="2"/>
  <c r="M2" i="2"/>
  <c r="Q2" i="2"/>
  <c r="C7" i="2" l="1"/>
  <c r="W2" i="2"/>
  <c r="A2" i="2"/>
  <c r="W32" i="3" l="1"/>
  <c r="W35" i="3" l="1"/>
  <c r="W145" i="3" s="1"/>
  <c r="E65" i="3" l="1"/>
  <c r="D7" i="2" s="1"/>
  <c r="E7" i="2" s="1"/>
  <c r="E2" i="2"/>
  <c r="P7" i="2" l="1"/>
  <c r="W26" i="3"/>
  <c r="W140" i="3" s="1"/>
  <c r="E72" i="3"/>
  <c r="E67" i="3"/>
  <c r="G7" i="2" s="1"/>
  <c r="E23" i="3"/>
  <c r="W24" i="3" s="1"/>
  <c r="W27" i="3" l="1"/>
  <c r="H2" i="2"/>
  <c r="H12" i="2" s="1"/>
  <c r="W28" i="3"/>
  <c r="W25" i="3"/>
  <c r="W139" i="3" s="1"/>
  <c r="W138" i="3"/>
  <c r="AE12" i="2" l="1"/>
  <c r="AE17" i="2" s="1" a="1"/>
  <c r="AE17" i="2" s="1"/>
  <c r="Y2" i="2"/>
  <c r="Z2" i="2" s="1"/>
  <c r="AB2" i="2" s="1"/>
  <c r="AC2" i="2" s="1"/>
  <c r="AC12" i="2" s="1"/>
  <c r="AD12" i="2" s="1"/>
  <c r="AD17" i="2" s="1" a="1"/>
  <c r="AD17" i="2" s="1"/>
  <c r="AQ18" i="3" s="1"/>
  <c r="W33" i="3" s="1"/>
  <c r="W36" i="3" s="1"/>
  <c r="W146" i="3" s="1"/>
  <c r="H8" i="2"/>
  <c r="O8" i="2" s="1"/>
  <c r="Q8" i="2" s="1"/>
  <c r="T8" i="2" s="1"/>
  <c r="H7" i="2"/>
  <c r="O7" i="2" s="1"/>
  <c r="Q7" i="2" s="1"/>
  <c r="T7" i="2" s="1"/>
  <c r="W141" i="3"/>
  <c r="W142" i="3" s="1"/>
  <c r="J2" i="2"/>
  <c r="K2" i="2" s="1"/>
  <c r="L2" i="2" s="1"/>
  <c r="T2" i="2" s="1"/>
  <c r="W29" i="3"/>
  <c r="Y29" i="3" s="1"/>
  <c r="AC7" i="2" l="1"/>
  <c r="AD7" i="2" s="1"/>
  <c r="AE7" i="2"/>
  <c r="T3" i="2"/>
  <c r="AD2" i="2" s="1"/>
  <c r="W41" i="3" s="1"/>
  <c r="W42" i="3" s="1"/>
  <c r="Y42" i="3" s="1"/>
  <c r="AE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Jean-alphonse</author>
    <author>Jean-Alphonse, K. (Kevin)</author>
  </authors>
  <commentList>
    <comment ref="E1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Can be past date</t>
        </r>
      </text>
    </comment>
    <comment ref="H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UnDiscounted EPE</t>
        </r>
      </text>
    </comment>
    <comment ref="I1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UnDiscounted ENE</t>
        </r>
      </text>
    </comment>
    <comment ref="M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RaceING EUR.EUCSA curve
(fill from MarketData Editor)</t>
        </r>
      </text>
    </comment>
    <comment ref="P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RaceING EUR.FUND curve
(fill from MarketData Editor)</t>
        </r>
      </text>
    </comment>
    <comment ref="AL1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Normalized to match Vortex PD1Y</t>
        </r>
      </text>
    </comment>
    <comment ref="AO1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Normalized to match Vortex PD1Y</t>
        </r>
      </text>
    </comment>
    <comment ref="AQ1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It is possible to paste custom capital profile</t>
        </r>
      </text>
    </comment>
    <comment ref="AS1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It is possible to paste custom capital profile</t>
        </r>
      </text>
    </comment>
    <comment ref="AV17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This is the unscaled FVA cost</t>
        </r>
      </text>
    </comment>
    <comment ref="BC17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EffEE, not EffEPE</t>
        </r>
      </text>
    </comment>
    <comment ref="E20" authorId="1" shapeId="0" xr:uid="{6E690F14-EF49-4686-B525-7ACFCB2EB082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Current Notional (used only in CEM)</t>
        </r>
      </text>
    </comment>
    <comment ref="E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Default value : Maturity, but can be Mandatory Break Clause date
User can modify value after calculation.</t>
        </r>
      </text>
    </comment>
    <comment ref="E45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Changes everyday, same value for all counterparty </t>
        </r>
      </text>
    </comment>
    <comment ref="E65" authorId="1" shapeId="0" xr:uid="{83180054-A5F0-479F-8598-BE9AEE3F265A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Average remaining notional across the life of the trade (used only in SA-CCR)</t>
        </r>
      </text>
    </comment>
    <comment ref="E66" authorId="1" shapeId="0" xr:uid="{9C308387-5C5B-440A-A873-322602C77FE2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Referenced as S_i in SA-CCR regulation 
</t>
        </r>
        <r>
          <rPr>
            <i/>
            <sz val="9"/>
            <color indexed="81"/>
            <rFont val="Tahoma"/>
            <family val="2"/>
          </rPr>
          <t xml:space="preserve">
See exemples on p14/37 in SA-CCR documentation</t>
        </r>
      </text>
    </comment>
    <comment ref="E67" authorId="1" shapeId="0" xr:uid="{D881698E-DEB2-415C-B0C9-BF599141F055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Referenced as E_i in SA-CCR regulation 
</t>
        </r>
        <r>
          <rPr>
            <i/>
            <sz val="9"/>
            <color indexed="81"/>
            <rFont val="Tahoma"/>
            <family val="2"/>
          </rPr>
          <t xml:space="preserve">
See exemples on p14/37 in SA-CCR documentation</t>
        </r>
      </text>
    </comment>
    <comment ref="E71" authorId="1" shapeId="0" xr:uid="{E7BCF10B-7B19-4A96-86F0-E901AA9050DA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Defined as ratio Underlying/Strike
(Moneyness = 1 for ATM)
</t>
        </r>
        <r>
          <rPr>
            <i/>
            <sz val="9"/>
            <color indexed="81"/>
            <rFont val="Tahoma"/>
            <family val="2"/>
          </rPr>
          <t>See definition on p16/37 in SA-CCR documentation</t>
        </r>
      </text>
    </comment>
    <comment ref="E72" authorId="1" shapeId="0" xr:uid="{DCC28B03-2B48-44FF-9B6C-5D64226DD106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Referenced as T_i in SA-CCR regulation 
</t>
        </r>
        <r>
          <rPr>
            <i/>
            <sz val="9"/>
            <color indexed="81"/>
            <rFont val="Tahoma"/>
            <family val="2"/>
          </rPr>
          <t xml:space="preserve">See definition on p13/37 in SA-CCR documentation
</t>
        </r>
        <r>
          <rPr>
            <b/>
            <sz val="9"/>
            <color indexed="81"/>
            <rFont val="Tahoma"/>
            <family val="2"/>
          </rPr>
          <t>INTERPRETATION</t>
        </r>
        <r>
          <rPr>
            <sz val="9"/>
            <color indexed="81"/>
            <rFont val="Tahoma"/>
            <family val="2"/>
          </rPr>
          <t xml:space="preserve"> 
For strips of options, take average expiry date (Ex: Cal23 ZCC, take T_i=Jun23)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<sst xmlns="http://schemas.openxmlformats.org/spreadsheetml/2006/main" count="4914" uniqueCount="3273">
  <si>
    <t>DATE</t>
  </si>
  <si>
    <t>Regulatory Add-on's under Basel II</t>
  </si>
  <si>
    <t>Interest Rates</t>
  </si>
  <si>
    <t>Equities</t>
  </si>
  <si>
    <t>Precious Metals Except Gold</t>
  </si>
  <si>
    <t>Other Commodities</t>
  </si>
  <si>
    <t>&lt;=1 Y</t>
  </si>
  <si>
    <t>&gt;1Y and &lt;=5Y</t>
  </si>
  <si>
    <t>&gt;5 Y</t>
  </si>
  <si>
    <t>LGD</t>
  </si>
  <si>
    <t>Rating</t>
  </si>
  <si>
    <t>CL01</t>
  </si>
  <si>
    <t>CL02</t>
  </si>
  <si>
    <t>CL03</t>
  </si>
  <si>
    <t>CL04</t>
  </si>
  <si>
    <t>CL05</t>
  </si>
  <si>
    <t>CL06</t>
  </si>
  <si>
    <t>CL07</t>
  </si>
  <si>
    <t>CL08</t>
  </si>
  <si>
    <t>CL09</t>
  </si>
  <si>
    <t>CL10</t>
  </si>
  <si>
    <t>CL11</t>
  </si>
  <si>
    <t>CL12</t>
  </si>
  <si>
    <t>CL13</t>
  </si>
  <si>
    <t>CL14</t>
  </si>
  <si>
    <t>CL15</t>
  </si>
  <si>
    <t>CL16</t>
  </si>
  <si>
    <t>CL17</t>
  </si>
  <si>
    <t>CL18</t>
  </si>
  <si>
    <t>CL19</t>
  </si>
  <si>
    <t>CL20</t>
  </si>
  <si>
    <t>CL21</t>
  </si>
  <si>
    <t>CL22</t>
  </si>
  <si>
    <t>1Y PD Estimated as %</t>
  </si>
  <si>
    <t>Correlation (R )</t>
  </si>
  <si>
    <t>Maturity Correction (b)</t>
  </si>
  <si>
    <t>Capital Requirement (K)</t>
  </si>
  <si>
    <t>General weighting factor</t>
  </si>
  <si>
    <t>Risk weight</t>
  </si>
  <si>
    <t>Remaining Maturity</t>
  </si>
  <si>
    <t>Is_Alive</t>
  </si>
  <si>
    <t>Addon flag</t>
  </si>
  <si>
    <t>Addon</t>
  </si>
  <si>
    <t>RoE Hurdle After Tax</t>
  </si>
  <si>
    <t>RoE Hurdle Before Tax</t>
  </si>
  <si>
    <t>RoC Hurdle Before Tax</t>
  </si>
  <si>
    <t>FX, CCS and Gold</t>
  </si>
  <si>
    <t>Date</t>
  </si>
  <si>
    <t>EPE</t>
  </si>
  <si>
    <t>ENE</t>
  </si>
  <si>
    <t>FTP Scalar</t>
  </si>
  <si>
    <t>FVA Benefit</t>
  </si>
  <si>
    <t>FVA Cost</t>
  </si>
  <si>
    <t>DefK</t>
  </si>
  <si>
    <t>DF</t>
  </si>
  <si>
    <t>ZC</t>
  </si>
  <si>
    <t>Maturity</t>
  </si>
  <si>
    <t>DefK cost</t>
  </si>
  <si>
    <t>Expected Loss</t>
  </si>
  <si>
    <t>CvaK</t>
  </si>
  <si>
    <t>CvaK cost</t>
  </si>
  <si>
    <t>Effective Maturity</t>
  </si>
  <si>
    <t>EffEE</t>
  </si>
  <si>
    <t>Default Capital Cost</t>
  </si>
  <si>
    <t>Total CIC estimated</t>
  </si>
  <si>
    <t>Risk Rating Description</t>
  </si>
  <si>
    <t>Capital for CVA weight</t>
  </si>
  <si>
    <t>w</t>
  </si>
  <si>
    <t>DivBenefit</t>
  </si>
  <si>
    <t>Calculated Pricing Params</t>
  </si>
  <si>
    <t>p1</t>
  </si>
  <si>
    <t>p2</t>
  </si>
  <si>
    <t>p3</t>
  </si>
  <si>
    <t>p4</t>
  </si>
  <si>
    <t>p5</t>
  </si>
  <si>
    <t>p6</t>
  </si>
  <si>
    <t>SPLEN</t>
  </si>
  <si>
    <t>OTH</t>
  </si>
  <si>
    <t>GOV</t>
  </si>
  <si>
    <t>CRINST</t>
  </si>
  <si>
    <t>Exp Class</t>
  </si>
  <si>
    <t>N</t>
  </si>
  <si>
    <t>Y</t>
  </si>
  <si>
    <t>ALL</t>
  </si>
  <si>
    <t>X</t>
  </si>
  <si>
    <t>less 70 bio</t>
  </si>
  <si>
    <t>Effective Regulated Indicator</t>
  </si>
  <si>
    <t>Asset Size Parent</t>
  </si>
  <si>
    <t>Y less 70 bio</t>
  </si>
  <si>
    <t>Exposure Class</t>
  </si>
  <si>
    <t>Effective Regulated</t>
  </si>
  <si>
    <t>FTP spread</t>
  </si>
  <si>
    <t>Months</t>
  </si>
  <si>
    <t>EUR</t>
  </si>
  <si>
    <t>6m</t>
  </si>
  <si>
    <t>&lt;12M</t>
  </si>
  <si>
    <t>18m</t>
  </si>
  <si>
    <t>12m</t>
  </si>
  <si>
    <t>2y</t>
  </si>
  <si>
    <t>3y</t>
  </si>
  <si>
    <t>4y</t>
  </si>
  <si>
    <t>5y</t>
  </si>
  <si>
    <t>6y</t>
  </si>
  <si>
    <t>7y</t>
  </si>
  <si>
    <t>10y</t>
  </si>
  <si>
    <t>11y</t>
  </si>
  <si>
    <t>12y</t>
  </si>
  <si>
    <t>15y</t>
  </si>
  <si>
    <t>20y</t>
  </si>
  <si>
    <t>25y</t>
  </si>
  <si>
    <t>30y</t>
  </si>
  <si>
    <t>reset</t>
  </si>
  <si>
    <t>ccy</t>
  </si>
  <si>
    <t>Funding Cost</t>
  </si>
  <si>
    <t>Funding Benefit</t>
  </si>
  <si>
    <t>Yes</t>
  </si>
  <si>
    <t>CENBANK</t>
  </si>
  <si>
    <t>Central Banks</t>
  </si>
  <si>
    <t>Central Governments</t>
  </si>
  <si>
    <t>CORP_OTH</t>
  </si>
  <si>
    <t>Corporates Other</t>
  </si>
  <si>
    <t>CORP_SME</t>
  </si>
  <si>
    <t>Corporate SME</t>
  </si>
  <si>
    <t>Credit Institutions</t>
  </si>
  <si>
    <t>EQUI</t>
  </si>
  <si>
    <t>Equity</t>
  </si>
  <si>
    <t>CORP_INST</t>
  </si>
  <si>
    <t>Institutions outside of EU equivalent countries</t>
  </si>
  <si>
    <t>IO_GOV</t>
  </si>
  <si>
    <t>International Organisations treated as Central Governments</t>
  </si>
  <si>
    <t>IO_INST</t>
  </si>
  <si>
    <t>International Organisations treated as Institutions</t>
  </si>
  <si>
    <t>MDB</t>
  </si>
  <si>
    <t>Multilateral Development Banks</t>
  </si>
  <si>
    <t>INST_OTH</t>
  </si>
  <si>
    <t>Other Institutions</t>
  </si>
  <si>
    <t>PSE_GOV</t>
  </si>
  <si>
    <t>PSEs treated as Central Governments</t>
  </si>
  <si>
    <t>PSE_INST</t>
  </si>
  <si>
    <t>PSEs treated as Institutions</t>
  </si>
  <si>
    <t>RET_OTH</t>
  </si>
  <si>
    <t>Retail Other Non-SME</t>
  </si>
  <si>
    <t>RET_SME</t>
  </si>
  <si>
    <t>Retail Other SME</t>
  </si>
  <si>
    <t>RET_REV</t>
  </si>
  <si>
    <t>Retail Qualifying revolving</t>
  </si>
  <si>
    <t>RET_MO_SME</t>
  </si>
  <si>
    <t>Retail Secured by immovable property SME</t>
  </si>
  <si>
    <t>RET_MORT</t>
  </si>
  <si>
    <t>Retail Secured by immovable property</t>
  </si>
  <si>
    <t>RG_GOV</t>
  </si>
  <si>
    <t>Regional governments or local authorities treated as Central Governments</t>
  </si>
  <si>
    <t>RG_INST</t>
  </si>
  <si>
    <t>Regional governments or local authorities treated as Institutions</t>
  </si>
  <si>
    <t>SEC</t>
  </si>
  <si>
    <t>Securitization Investor</t>
  </si>
  <si>
    <t>SEC_ORIG</t>
  </si>
  <si>
    <t>Securitization Originator</t>
  </si>
  <si>
    <t>SEC_SPON</t>
  </si>
  <si>
    <t>Securitization Sponsor</t>
  </si>
  <si>
    <t>COMM_FIN</t>
  </si>
  <si>
    <t>Specialized Lending - Commodities Finance</t>
  </si>
  <si>
    <t>Specialised Lending - Corporates</t>
  </si>
  <si>
    <t>OBJE_FIN</t>
  </si>
  <si>
    <t>Specialized Lending - Object Finance</t>
  </si>
  <si>
    <t>PROJ_FIN</t>
  </si>
  <si>
    <t>Specialized Lending - Project Finance</t>
  </si>
  <si>
    <t>REAL_FIN</t>
  </si>
  <si>
    <t>Specialized Lending - Real Estate (IPRE only)</t>
  </si>
  <si>
    <t>Exp Class Name</t>
  </si>
  <si>
    <t>PD1Y</t>
  </si>
  <si>
    <t>AS13</t>
  </si>
  <si>
    <t>AS14</t>
  </si>
  <si>
    <t>AS15</t>
  </si>
  <si>
    <t>AS17</t>
  </si>
  <si>
    <t>AS19</t>
  </si>
  <si>
    <t>AS22</t>
  </si>
  <si>
    <t>AN01</t>
  </si>
  <si>
    <t>AN02</t>
  </si>
  <si>
    <t>AN05</t>
  </si>
  <si>
    <t>AN06</t>
  </si>
  <si>
    <t>AN07</t>
  </si>
  <si>
    <t>AN09</t>
  </si>
  <si>
    <t>AN11</t>
  </si>
  <si>
    <t>AN12</t>
  </si>
  <si>
    <t>AN13</t>
  </si>
  <si>
    <t>AN14</t>
  </si>
  <si>
    <t>AN15</t>
  </si>
  <si>
    <t>AN16</t>
  </si>
  <si>
    <t>AN17</t>
  </si>
  <si>
    <t>AN18</t>
  </si>
  <si>
    <t>AN19</t>
  </si>
  <si>
    <t>AN21</t>
  </si>
  <si>
    <t>AF02</t>
  </si>
  <si>
    <t>AF03</t>
  </si>
  <si>
    <t>AF04</t>
  </si>
  <si>
    <t>CT19</t>
  </si>
  <si>
    <t>AF05</t>
  </si>
  <si>
    <t>AF06</t>
  </si>
  <si>
    <t>AF07</t>
  </si>
  <si>
    <t>AF08</t>
  </si>
  <si>
    <t>AF09</t>
  </si>
  <si>
    <t>CT18</t>
  </si>
  <si>
    <t>AF10</t>
  </si>
  <si>
    <t>AF11</t>
  </si>
  <si>
    <t>AF12</t>
  </si>
  <si>
    <t>AF13</t>
  </si>
  <si>
    <t>AF14</t>
  </si>
  <si>
    <t>AF15</t>
  </si>
  <si>
    <t>AF16</t>
  </si>
  <si>
    <t>AF17</t>
  </si>
  <si>
    <t>AF18</t>
  </si>
  <si>
    <t>AF19</t>
  </si>
  <si>
    <t>AF20</t>
  </si>
  <si>
    <t>AF21</t>
  </si>
  <si>
    <t>AF22</t>
  </si>
  <si>
    <t>AM01</t>
  </si>
  <si>
    <t>AM04</t>
  </si>
  <si>
    <t>AM06</t>
  </si>
  <si>
    <t>AM07</t>
  </si>
  <si>
    <t>AM08</t>
  </si>
  <si>
    <t>AM10</t>
  </si>
  <si>
    <t>AM12</t>
  </si>
  <si>
    <t>CI17</t>
  </si>
  <si>
    <t>AN03</t>
  </si>
  <si>
    <t>AN04</t>
  </si>
  <si>
    <t>CN17</t>
  </si>
  <si>
    <t>AN08</t>
  </si>
  <si>
    <t>AN10</t>
  </si>
  <si>
    <t>CT17</t>
  </si>
  <si>
    <t>AN20</t>
  </si>
  <si>
    <t>AN22</t>
  </si>
  <si>
    <t>AS01</t>
  </si>
  <si>
    <t>FB17</t>
  </si>
  <si>
    <t>AS05</t>
  </si>
  <si>
    <t>AS07</t>
  </si>
  <si>
    <t>FC17</t>
  </si>
  <si>
    <t>AS16</t>
  </si>
  <si>
    <t>AS18</t>
  </si>
  <si>
    <t>AS20</t>
  </si>
  <si>
    <t>AS21</t>
  </si>
  <si>
    <t>AI02</t>
  </si>
  <si>
    <t>AI03</t>
  </si>
  <si>
    <t>AI04</t>
  </si>
  <si>
    <t>AI05</t>
  </si>
  <si>
    <t>AI06</t>
  </si>
  <si>
    <t>FH17</t>
  </si>
  <si>
    <t>AI07</t>
  </si>
  <si>
    <t>AI08</t>
  </si>
  <si>
    <t>AI09</t>
  </si>
  <si>
    <t>AI10</t>
  </si>
  <si>
    <t>AI11</t>
  </si>
  <si>
    <t>AI12</t>
  </si>
  <si>
    <t>AI13</t>
  </si>
  <si>
    <t>AI14</t>
  </si>
  <si>
    <t>AI15</t>
  </si>
  <si>
    <t>FI17</t>
  </si>
  <si>
    <t>AI16</t>
  </si>
  <si>
    <t>CI01</t>
  </si>
  <si>
    <t>CI02</t>
  </si>
  <si>
    <t>CI03</t>
  </si>
  <si>
    <t>CI04</t>
  </si>
  <si>
    <t>CI05</t>
  </si>
  <si>
    <t>CI06</t>
  </si>
  <si>
    <t>CI07</t>
  </si>
  <si>
    <t>CI08</t>
  </si>
  <si>
    <t>CI09</t>
  </si>
  <si>
    <t>CI10</t>
  </si>
  <si>
    <t>CI11</t>
  </si>
  <si>
    <t>CI12</t>
  </si>
  <si>
    <t>CI13</t>
  </si>
  <si>
    <t>CI14</t>
  </si>
  <si>
    <t>CI15</t>
  </si>
  <si>
    <t>CI16</t>
  </si>
  <si>
    <t>CI18</t>
  </si>
  <si>
    <t>CI19</t>
  </si>
  <si>
    <t>CI20</t>
  </si>
  <si>
    <t>CI21</t>
  </si>
  <si>
    <t>CI22</t>
  </si>
  <si>
    <t>CJ01</t>
  </si>
  <si>
    <t>CJ02</t>
  </si>
  <si>
    <t>CJ03</t>
  </si>
  <si>
    <t>CJ04</t>
  </si>
  <si>
    <t>CJ05</t>
  </si>
  <si>
    <t>CJ06</t>
  </si>
  <si>
    <t>CJ07</t>
  </si>
  <si>
    <t>CJ08</t>
  </si>
  <si>
    <t>FS03</t>
  </si>
  <si>
    <t>FS04</t>
  </si>
  <si>
    <t>FS05</t>
  </si>
  <si>
    <t>FS06</t>
  </si>
  <si>
    <t>FS07</t>
  </si>
  <si>
    <t>FS08</t>
  </si>
  <si>
    <t>FS09</t>
  </si>
  <si>
    <t>FS10</t>
  </si>
  <si>
    <t>FS11</t>
  </si>
  <si>
    <t>FS12</t>
  </si>
  <si>
    <t>FS13</t>
  </si>
  <si>
    <t>FS14</t>
  </si>
  <si>
    <t>FS15</t>
  </si>
  <si>
    <t>FS16</t>
  </si>
  <si>
    <t>FS18</t>
  </si>
  <si>
    <t>FS19</t>
  </si>
  <si>
    <t>FS20</t>
  </si>
  <si>
    <t>FS21</t>
  </si>
  <si>
    <t>FS22</t>
  </si>
  <si>
    <t>IN01</t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</si>
  <si>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</si>
  <si>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</si>
  <si>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</si>
  <si>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</si>
  <si>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</si>
  <si>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</si>
  <si>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</si>
  <si>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</si>
  <si>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</si>
  <si>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</si>
  <si>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</si>
  <si>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</si>
  <si>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</si>
  <si>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</si>
  <si>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</si>
  <si>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</si>
  <si>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</si>
  <si>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IN19</t>
  </si>
  <si>
    <t>IN20</t>
  </si>
  <si>
    <t>IN21</t>
  </si>
  <si>
    <t>IN22</t>
  </si>
  <si>
    <t>IZ17</t>
  </si>
  <si>
    <t>MP02</t>
  </si>
  <si>
    <t>MP05</t>
  </si>
  <si>
    <t>MP06</t>
  </si>
  <si>
    <t>MP08</t>
  </si>
  <si>
    <t>MP10</t>
  </si>
  <si>
    <t>MP12</t>
  </si>
  <si>
    <t>MP13</t>
  </si>
  <si>
    <t>MP14</t>
  </si>
  <si>
    <t>MP15</t>
  </si>
  <si>
    <t>MP17</t>
  </si>
  <si>
    <t>MP18</t>
  </si>
  <si>
    <t>MP19</t>
  </si>
  <si>
    <t>MP20</t>
  </si>
  <si>
    <t>MP21</t>
  </si>
  <si>
    <t>MP22</t>
  </si>
  <si>
    <t>MZ13</t>
  </si>
  <si>
    <t>MZ17</t>
  </si>
  <si>
    <t>FZ17</t>
  </si>
  <si>
    <t>AI17</t>
  </si>
  <si>
    <t>AI18</t>
  </si>
  <si>
    <t>GL05</t>
  </si>
  <si>
    <t>GL09</t>
  </si>
  <si>
    <t>GL11</t>
  </si>
  <si>
    <t>GL13</t>
  </si>
  <si>
    <t>GL16</t>
  </si>
  <si>
    <t>GC01</t>
  </si>
  <si>
    <t>GC02</t>
  </si>
  <si>
    <t>GC03</t>
  </si>
  <si>
    <t>GC04</t>
  </si>
  <si>
    <t>GC05</t>
  </si>
  <si>
    <t>GC06</t>
  </si>
  <si>
    <t>GC07</t>
  </si>
  <si>
    <t>GC08</t>
  </si>
  <si>
    <t>GC09</t>
  </si>
  <si>
    <t>GC10</t>
  </si>
  <si>
    <t>GC11</t>
  </si>
  <si>
    <t>GC12</t>
  </si>
  <si>
    <t>GC13</t>
  </si>
  <si>
    <t>GC14</t>
  </si>
  <si>
    <t>GC15</t>
  </si>
  <si>
    <t>GC16</t>
  </si>
  <si>
    <t>GC17</t>
  </si>
  <si>
    <t>GC18</t>
  </si>
  <si>
    <t>GC19</t>
  </si>
  <si>
    <t>GC20</t>
  </si>
  <si>
    <t>GC21</t>
  </si>
  <si>
    <t>GC22</t>
  </si>
  <si>
    <t>GI01</t>
  </si>
  <si>
    <t>GI02</t>
  </si>
  <si>
    <t>GI03</t>
  </si>
  <si>
    <t>GI04</t>
  </si>
  <si>
    <t>GI05</t>
  </si>
  <si>
    <t>GI06</t>
  </si>
  <si>
    <t>GI07</t>
  </si>
  <si>
    <t>GI08</t>
  </si>
  <si>
    <t>GI09</t>
  </si>
  <si>
    <t>GI10</t>
  </si>
  <si>
    <t>GI11</t>
  </si>
  <si>
    <t>GI12</t>
  </si>
  <si>
    <t>GI13</t>
  </si>
  <si>
    <t>GI14</t>
  </si>
  <si>
    <t>GI15</t>
  </si>
  <si>
    <t>GI16</t>
  </si>
  <si>
    <t>GI17</t>
  </si>
  <si>
    <t>GI18</t>
  </si>
  <si>
    <t>GI19</t>
  </si>
  <si>
    <t>GI20</t>
  </si>
  <si>
    <t>GI21</t>
  </si>
  <si>
    <t>GI22</t>
  </si>
  <si>
    <t>GL01</t>
  </si>
  <si>
    <t>GL02</t>
  </si>
  <si>
    <t>GL03</t>
  </si>
  <si>
    <t>GL04</t>
  </si>
  <si>
    <t>GL06</t>
  </si>
  <si>
    <t>GL07</t>
  </si>
  <si>
    <t>GL08</t>
  </si>
  <si>
    <t>GL10</t>
  </si>
  <si>
    <t>GL12</t>
  </si>
  <si>
    <t>GL14</t>
  </si>
  <si>
    <t>GL15</t>
  </si>
  <si>
    <t>GL17</t>
  </si>
  <si>
    <t>GL18</t>
  </si>
  <si>
    <t>GL19</t>
  </si>
  <si>
    <t>GL20</t>
  </si>
  <si>
    <t>GL21</t>
  </si>
  <si>
    <t>GL22</t>
  </si>
  <si>
    <t>GZ17</t>
  </si>
  <si>
    <t>GN01</t>
  </si>
  <si>
    <t>GN02</t>
  </si>
  <si>
    <t>GN03</t>
  </si>
  <si>
    <t>GN04</t>
  </si>
  <si>
    <t>GN05</t>
  </si>
  <si>
    <t>GN06</t>
  </si>
  <si>
    <t>GN07</t>
  </si>
  <si>
    <t>GN08</t>
  </si>
  <si>
    <t>GN09</t>
  </si>
  <si>
    <t>GN10</t>
  </si>
  <si>
    <t>GN11</t>
  </si>
  <si>
    <t>GN12</t>
  </si>
  <si>
    <t>GN13</t>
  </si>
  <si>
    <t>GN14</t>
  </si>
  <si>
    <t>GN15</t>
  </si>
  <si>
    <t>GN16</t>
  </si>
  <si>
    <t>GN17</t>
  </si>
  <si>
    <t>GN18</t>
  </si>
  <si>
    <t>GN19</t>
  </si>
  <si>
    <t>GN20</t>
  </si>
  <si>
    <t>GN21</t>
  </si>
  <si>
    <t>GN22</t>
  </si>
  <si>
    <t>AF01</t>
  </si>
  <si>
    <t>AM02</t>
  </si>
  <si>
    <t>AM03</t>
  </si>
  <si>
    <t>AM05</t>
  </si>
  <si>
    <t>AM09</t>
  </si>
  <si>
    <t>AM11</t>
  </si>
  <si>
    <t>AM13</t>
  </si>
  <si>
    <t>AM14</t>
  </si>
  <si>
    <t>AM15</t>
  </si>
  <si>
    <t>AM16</t>
  </si>
  <si>
    <t>AM17</t>
  </si>
  <si>
    <t>AM18</t>
  </si>
  <si>
    <t>AM19</t>
  </si>
  <si>
    <t>AM20</t>
  </si>
  <si>
    <t>AM21</t>
  </si>
  <si>
    <t>AM22</t>
  </si>
  <si>
    <t>AS02</t>
  </si>
  <si>
    <t>AS03</t>
  </si>
  <si>
    <t>AS04</t>
  </si>
  <si>
    <t>AS06</t>
  </si>
  <si>
    <t>AS08</t>
  </si>
  <si>
    <t>AS09</t>
  </si>
  <si>
    <t>AI01</t>
  </si>
  <si>
    <t>AS10</t>
  </si>
  <si>
    <t>AS11</t>
  </si>
  <si>
    <t>AS12</t>
  </si>
  <si>
    <t>FI03</t>
  </si>
  <si>
    <t>FI04</t>
  </si>
  <si>
    <t>FI05</t>
  </si>
  <si>
    <t>FI06</t>
  </si>
  <si>
    <t>FI07</t>
  </si>
  <si>
    <t>FI08</t>
  </si>
  <si>
    <t>FI09</t>
  </si>
  <si>
    <t>FI10</t>
  </si>
  <si>
    <t>FI11</t>
  </si>
  <si>
    <t>FI12</t>
  </si>
  <si>
    <t>FI13</t>
  </si>
  <si>
    <t>FI14</t>
  </si>
  <si>
    <t>FI15</t>
  </si>
  <si>
    <t>FI16</t>
  </si>
  <si>
    <t>FI18</t>
  </si>
  <si>
    <t>FI19</t>
  </si>
  <si>
    <t>FI20</t>
  </si>
  <si>
    <t>FI21</t>
  </si>
  <si>
    <t>FI22</t>
  </si>
  <si>
    <t>FL01</t>
  </si>
  <si>
    <t>FL02</t>
  </si>
  <si>
    <t>FL03</t>
  </si>
  <si>
    <t>FL04</t>
  </si>
  <si>
    <t>FL05</t>
  </si>
  <si>
    <t>FL06</t>
  </si>
  <si>
    <t>FL07</t>
  </si>
  <si>
    <t>FL08</t>
  </si>
  <si>
    <t>FL09</t>
  </si>
  <si>
    <t>FL10</t>
  </si>
  <si>
    <t>FL11</t>
  </si>
  <si>
    <t>FL12</t>
  </si>
  <si>
    <t>FL13</t>
  </si>
  <si>
    <t>FL14</t>
  </si>
  <si>
    <t>FL15</t>
  </si>
  <si>
    <t>FL16</t>
  </si>
  <si>
    <t>FL18</t>
  </si>
  <si>
    <t>FL19</t>
  </si>
  <si>
    <t>FL20</t>
  </si>
  <si>
    <t>FL21</t>
  </si>
  <si>
    <t>FL22</t>
  </si>
  <si>
    <t>FN01</t>
  </si>
  <si>
    <t>FN02</t>
  </si>
  <si>
    <t>FN03</t>
  </si>
  <si>
    <t>FN04</t>
  </si>
  <si>
    <t>FN05</t>
  </si>
  <si>
    <t>FN06</t>
  </si>
  <si>
    <t>FN07</t>
  </si>
  <si>
    <t>FN08</t>
  </si>
  <si>
    <t>FN09</t>
  </si>
  <si>
    <t>FN10</t>
  </si>
  <si>
    <t>FN11</t>
  </si>
  <si>
    <t>FN12</t>
  </si>
  <si>
    <t>FN13</t>
  </si>
  <si>
    <t>FN14</t>
  </si>
  <si>
    <t>FN15</t>
  </si>
  <si>
    <t>FN16</t>
  </si>
  <si>
    <t>FN18</t>
  </si>
  <si>
    <t>FN19</t>
  </si>
  <si>
    <t>FN20</t>
  </si>
  <si>
    <t>FN21</t>
  </si>
  <si>
    <t>FN22</t>
  </si>
  <si>
    <t>FO01</t>
  </si>
  <si>
    <t>FO02</t>
  </si>
  <si>
    <t>FO03</t>
  </si>
  <si>
    <t>FO04</t>
  </si>
  <si>
    <t>FO05</t>
  </si>
  <si>
    <t>FO06</t>
  </si>
  <si>
    <t>FO07</t>
  </si>
  <si>
    <t>FO08</t>
  </si>
  <si>
    <t>FO09</t>
  </si>
  <si>
    <t>FO10</t>
  </si>
  <si>
    <t>FO11</t>
  </si>
  <si>
    <t>FO12</t>
  </si>
  <si>
    <t>FO13</t>
  </si>
  <si>
    <t>FO14</t>
  </si>
  <si>
    <t>FO15</t>
  </si>
  <si>
    <t>FO16</t>
  </si>
  <si>
    <t>FO18</t>
  </si>
  <si>
    <t>FO19</t>
  </si>
  <si>
    <t>FO20</t>
  </si>
  <si>
    <t>FO21</t>
  </si>
  <si>
    <t>FO22</t>
  </si>
  <si>
    <t>FP04</t>
  </si>
  <si>
    <t>FP06</t>
  </si>
  <si>
    <t>FP07</t>
  </si>
  <si>
    <t>FP08</t>
  </si>
  <si>
    <t>FP01.1</t>
  </si>
  <si>
    <t>FP09</t>
  </si>
  <si>
    <t>FP10</t>
  </si>
  <si>
    <t>FP11</t>
  </si>
  <si>
    <t>FP12</t>
  </si>
  <si>
    <t>FP13</t>
  </si>
  <si>
    <t>FP14</t>
  </si>
  <si>
    <t>FP15</t>
  </si>
  <si>
    <t>FP16</t>
  </si>
  <si>
    <t>FP18</t>
  </si>
  <si>
    <t>FP19</t>
  </si>
  <si>
    <t>FP20</t>
  </si>
  <si>
    <t>FP21</t>
  </si>
  <si>
    <t>FP22</t>
  </si>
  <si>
    <t>FS01</t>
  </si>
  <si>
    <t>FS02</t>
  </si>
  <si>
    <t>ZS18</t>
  </si>
  <si>
    <t>SB12</t>
  </si>
  <si>
    <t>SB05</t>
  </si>
  <si>
    <t>SB09</t>
  </si>
  <si>
    <t>SB11</t>
  </si>
  <si>
    <t>SB13</t>
  </si>
  <si>
    <t>SB14</t>
  </si>
  <si>
    <t>JN09</t>
  </si>
  <si>
    <t>JN08</t>
  </si>
  <si>
    <t>JN10</t>
  </si>
  <si>
    <t>JN11</t>
  </si>
  <si>
    <t>JN12</t>
  </si>
  <si>
    <t>JN13</t>
  </si>
  <si>
    <t>JN14</t>
  </si>
  <si>
    <t>JN15</t>
  </si>
  <si>
    <t>JN16</t>
  </si>
  <si>
    <t>JN17</t>
  </si>
  <si>
    <t>JN18</t>
  </si>
  <si>
    <t>JN19</t>
  </si>
  <si>
    <t>JN20</t>
  </si>
  <si>
    <t>JN21</t>
  </si>
  <si>
    <t>JN22</t>
  </si>
  <si>
    <t>JI08</t>
  </si>
  <si>
    <t>JI09</t>
  </si>
  <si>
    <t>JI10</t>
  </si>
  <si>
    <t>JI11</t>
  </si>
  <si>
    <t>JI12</t>
  </si>
  <si>
    <t>JI13</t>
  </si>
  <si>
    <t>JI14</t>
  </si>
  <si>
    <t>JI15</t>
  </si>
  <si>
    <t>JI16</t>
  </si>
  <si>
    <t>JI17</t>
  </si>
  <si>
    <t>JI18</t>
  </si>
  <si>
    <t>JI19</t>
  </si>
  <si>
    <t>JI20</t>
  </si>
  <si>
    <t>JI21</t>
  </si>
  <si>
    <t>JI22</t>
  </si>
  <si>
    <t>PN15</t>
  </si>
  <si>
    <t>PN14</t>
  </si>
  <si>
    <t>PN18</t>
  </si>
  <si>
    <t>ZW02</t>
  </si>
  <si>
    <t>ZD01</t>
  </si>
  <si>
    <t>ZD02</t>
  </si>
  <si>
    <t>ZD03</t>
  </si>
  <si>
    <t>ZD04</t>
  </si>
  <si>
    <t>ZD05</t>
  </si>
  <si>
    <t>ZD06</t>
  </si>
  <si>
    <t>ZD07</t>
  </si>
  <si>
    <t>ZD08</t>
  </si>
  <si>
    <t>ZD09</t>
  </si>
  <si>
    <t>ZD10</t>
  </si>
  <si>
    <t>ZD11</t>
  </si>
  <si>
    <t>ZD12</t>
  </si>
  <si>
    <t>ZD13</t>
  </si>
  <si>
    <t>ZD14</t>
  </si>
  <si>
    <t>MN09</t>
  </si>
  <si>
    <t>BI08</t>
  </si>
  <si>
    <t>BI09</t>
  </si>
  <si>
    <t>BI10</t>
  </si>
  <si>
    <t>BI11</t>
  </si>
  <si>
    <t>BI12</t>
  </si>
  <si>
    <t>BI13</t>
  </si>
  <si>
    <t>BI14</t>
  </si>
  <si>
    <t>BI15</t>
  </si>
  <si>
    <t>BI16</t>
  </si>
  <si>
    <t>BI17</t>
  </si>
  <si>
    <t>BI18</t>
  </si>
  <si>
    <t>BI19</t>
  </si>
  <si>
    <t>BI20</t>
  </si>
  <si>
    <t>BI21</t>
  </si>
  <si>
    <t>BI22</t>
  </si>
  <si>
    <t>BN01</t>
  </si>
  <si>
    <t>BN02</t>
  </si>
  <si>
    <t>BN03</t>
  </si>
  <si>
    <t>BN04</t>
  </si>
  <si>
    <t>BN05</t>
  </si>
  <si>
    <t>BN06</t>
  </si>
  <si>
    <t>BN07</t>
  </si>
  <si>
    <t>BN08</t>
  </si>
  <si>
    <t>BN09</t>
  </si>
  <si>
    <t>BN10</t>
  </si>
  <si>
    <t>BN11</t>
  </si>
  <si>
    <t>BN12</t>
  </si>
  <si>
    <t>BN13</t>
  </si>
  <si>
    <t>BN14</t>
  </si>
  <si>
    <t>BN15</t>
  </si>
  <si>
    <t>BN16</t>
  </si>
  <si>
    <t>BN17</t>
  </si>
  <si>
    <t>BN18</t>
  </si>
  <si>
    <t>BN19</t>
  </si>
  <si>
    <t>BN20</t>
  </si>
  <si>
    <t>BN21</t>
  </si>
  <si>
    <t>BN22</t>
  </si>
  <si>
    <t>SB15</t>
  </si>
  <si>
    <t>SB16</t>
  </si>
  <si>
    <t>SB17</t>
  </si>
  <si>
    <t>JZ17</t>
  </si>
  <si>
    <t>MI01</t>
  </si>
  <si>
    <t>MI02</t>
  </si>
  <si>
    <t>MI03</t>
  </si>
  <si>
    <t>MI04</t>
  </si>
  <si>
    <t>MI05</t>
  </si>
  <si>
    <t>MI06</t>
  </si>
  <si>
    <t>ZD15</t>
  </si>
  <si>
    <t>ZD16</t>
  </si>
  <si>
    <t>ZD17</t>
  </si>
  <si>
    <t>BC13</t>
  </si>
  <si>
    <t>BC17</t>
  </si>
  <si>
    <t>BC18</t>
  </si>
  <si>
    <t>BC19</t>
  </si>
  <si>
    <t>BC20</t>
  </si>
  <si>
    <t>BC21</t>
  </si>
  <si>
    <t>BC22</t>
  </si>
  <si>
    <t>BC14</t>
  </si>
  <si>
    <t>FP05</t>
  </si>
  <si>
    <t>MI12</t>
  </si>
  <si>
    <t>MI13</t>
  </si>
  <si>
    <t>MI14</t>
  </si>
  <si>
    <t>MI15</t>
  </si>
  <si>
    <t>MI16</t>
  </si>
  <si>
    <t>MI17</t>
  </si>
  <si>
    <t>MI18</t>
  </si>
  <si>
    <t>MI19</t>
  </si>
  <si>
    <t>MI20</t>
  </si>
  <si>
    <t>MI21</t>
  </si>
  <si>
    <t>MI22</t>
  </si>
  <si>
    <t>MN01</t>
  </si>
  <si>
    <t>MN02</t>
  </si>
  <si>
    <t>MN03</t>
  </si>
  <si>
    <t>MN04</t>
  </si>
  <si>
    <t>MN05</t>
  </si>
  <si>
    <t>MN06</t>
  </si>
  <si>
    <t>MN07</t>
  </si>
  <si>
    <t>MN08</t>
  </si>
  <si>
    <t>IB03</t>
  </si>
  <si>
    <t>IB04</t>
  </si>
  <si>
    <t>IB05</t>
  </si>
  <si>
    <t>IB06</t>
  </si>
  <si>
    <t>IB07</t>
  </si>
  <si>
    <t>IB08</t>
  </si>
  <si>
    <t>IB09</t>
  </si>
  <si>
    <t>IB10</t>
  </si>
  <si>
    <t>IB11</t>
  </si>
  <si>
    <t>IB12</t>
  </si>
  <si>
    <t>IB13</t>
  </si>
  <si>
    <t>IB14</t>
  </si>
  <si>
    <t>IB15</t>
  </si>
  <si>
    <t>IB16</t>
  </si>
  <si>
    <t>IB17</t>
  </si>
  <si>
    <t>IB18</t>
  </si>
  <si>
    <t>IB19</t>
  </si>
  <si>
    <t>IB20</t>
  </si>
  <si>
    <t>IB21</t>
  </si>
  <si>
    <t>IB22</t>
  </si>
  <si>
    <t>CW13</t>
  </si>
  <si>
    <t>CW14</t>
  </si>
  <si>
    <t>CW15</t>
  </si>
  <si>
    <t>CW16</t>
  </si>
  <si>
    <t>CW17</t>
  </si>
  <si>
    <t>CW18</t>
  </si>
  <si>
    <t>CW19</t>
  </si>
  <si>
    <t>CW20</t>
  </si>
  <si>
    <t>CW21</t>
  </si>
  <si>
    <t>CW22</t>
  </si>
  <si>
    <t>IL06</t>
  </si>
  <si>
    <t>IL07</t>
  </si>
  <si>
    <t>IL08</t>
  </si>
  <si>
    <t>IL09</t>
  </si>
  <si>
    <t>IL10</t>
  </si>
  <si>
    <t>IL11</t>
  </si>
  <si>
    <t>IL12</t>
  </si>
  <si>
    <t>IL13</t>
  </si>
  <si>
    <t>IL14</t>
  </si>
  <si>
    <t>IL15</t>
  </si>
  <si>
    <t>IL16</t>
  </si>
  <si>
    <t>IL17</t>
  </si>
  <si>
    <t>IL18</t>
  </si>
  <si>
    <t>IL19</t>
  </si>
  <si>
    <t>IL20</t>
  </si>
  <si>
    <t>IL21</t>
  </si>
  <si>
    <t>IL22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</si>
  <si>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</si>
  <si>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</si>
  <si>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</si>
  <si>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</si>
  <si>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</si>
  <si>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</si>
  <si>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</si>
  <si>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</si>
  <si>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</si>
  <si>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</si>
  <si>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</si>
  <si>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</si>
  <si>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</si>
  <si>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RI01</t>
  </si>
  <si>
    <t>RI02</t>
  </si>
  <si>
    <t>RI03</t>
  </si>
  <si>
    <t>RI04</t>
  </si>
  <si>
    <t>RI05</t>
  </si>
  <si>
    <t>RI06</t>
  </si>
  <si>
    <t>RI07</t>
  </si>
  <si>
    <t>RI08</t>
  </si>
  <si>
    <t>RI09</t>
  </si>
  <si>
    <t>RI10</t>
  </si>
  <si>
    <t>RI11</t>
  </si>
  <si>
    <t>RI12</t>
  </si>
  <si>
    <t>RI13</t>
  </si>
  <si>
    <t>RI14</t>
  </si>
  <si>
    <t>RI15</t>
  </si>
  <si>
    <t>RI16</t>
  </si>
  <si>
    <t>RI17</t>
  </si>
  <si>
    <t>RI18</t>
  </si>
  <si>
    <t>RI19</t>
  </si>
  <si>
    <t>RI20</t>
  </si>
  <si>
    <t>RI21</t>
  </si>
  <si>
    <t>RI22</t>
  </si>
  <si>
    <t>SI09</t>
  </si>
  <si>
    <t>SI11</t>
  </si>
  <si>
    <t>SI12</t>
  </si>
  <si>
    <t>SI15</t>
  </si>
  <si>
    <t>SI16</t>
  </si>
  <si>
    <t>SI17</t>
  </si>
  <si>
    <t>SI18</t>
  </si>
  <si>
    <t>SI19</t>
  </si>
  <si>
    <t>SI20</t>
  </si>
  <si>
    <t>SI21</t>
  </si>
  <si>
    <t>SI22</t>
  </si>
  <si>
    <t>BC01</t>
  </si>
  <si>
    <t>BC15</t>
  </si>
  <si>
    <t>BC16</t>
  </si>
  <si>
    <t>BI01</t>
  </si>
  <si>
    <t>BI02</t>
  </si>
  <si>
    <t>BI03</t>
  </si>
  <si>
    <t>BI04</t>
  </si>
  <si>
    <t>BI05</t>
  </si>
  <si>
    <t>BI06</t>
  </si>
  <si>
    <t>BI07</t>
  </si>
  <si>
    <t>MA20</t>
  </si>
  <si>
    <t>PN17</t>
  </si>
  <si>
    <t>PN08</t>
  </si>
  <si>
    <t>PN09</t>
  </si>
  <si>
    <t>PN10</t>
  </si>
  <si>
    <t>PN11</t>
  </si>
  <si>
    <t>PN12</t>
  </si>
  <si>
    <t>PN07</t>
  </si>
  <si>
    <t>ZW01</t>
  </si>
  <si>
    <t>CJ09</t>
  </si>
  <si>
    <t>CJ10</t>
  </si>
  <si>
    <t>CJ11</t>
  </si>
  <si>
    <t>CJ12</t>
  </si>
  <si>
    <t>CJ13</t>
  </si>
  <si>
    <t>CJ14</t>
  </si>
  <si>
    <t>CJ15</t>
  </si>
  <si>
    <t>CJ16</t>
  </si>
  <si>
    <t>CJ17</t>
  </si>
  <si>
    <t>CJ18</t>
  </si>
  <si>
    <t>CJ19</t>
  </si>
  <si>
    <t>CJ20</t>
  </si>
  <si>
    <t>CJ21</t>
  </si>
  <si>
    <t>CJ22</t>
  </si>
  <si>
    <t>CN01</t>
  </si>
  <si>
    <t>CN02</t>
  </si>
  <si>
    <t>CN03</t>
  </si>
  <si>
    <t>CN04</t>
  </si>
  <si>
    <t>CN05</t>
  </si>
  <si>
    <t>CN06</t>
  </si>
  <si>
    <t>CN07</t>
  </si>
  <si>
    <t>CN08</t>
  </si>
  <si>
    <t>CN09</t>
  </si>
  <si>
    <t>CN10</t>
  </si>
  <si>
    <t>CN11</t>
  </si>
  <si>
    <t>CN12</t>
  </si>
  <si>
    <t>CN13</t>
  </si>
  <si>
    <t>CN14</t>
  </si>
  <si>
    <t>CN15</t>
  </si>
  <si>
    <t>CN16</t>
  </si>
  <si>
    <t>CN18</t>
  </si>
  <si>
    <t>CN19</t>
  </si>
  <si>
    <t>CN20</t>
  </si>
  <si>
    <t>CN21</t>
  </si>
  <si>
    <t>CN22</t>
  </si>
  <si>
    <t>FL17</t>
  </si>
  <si>
    <t>CT08</t>
  </si>
  <si>
    <t>CT09</t>
  </si>
  <si>
    <t>CT10</t>
  </si>
  <si>
    <t>CT11</t>
  </si>
  <si>
    <t>CT12</t>
  </si>
  <si>
    <t>CT13</t>
  </si>
  <si>
    <t>CT14</t>
  </si>
  <si>
    <t>CT15</t>
  </si>
  <si>
    <t>CT16</t>
  </si>
  <si>
    <t>CT20</t>
  </si>
  <si>
    <t>CT21</t>
  </si>
  <si>
    <t>CT22</t>
  </si>
  <si>
    <t>CZ17</t>
  </si>
  <si>
    <t>FB01</t>
  </si>
  <si>
    <t>FB02</t>
  </si>
  <si>
    <t>FB03</t>
  </si>
  <si>
    <t>FB04</t>
  </si>
  <si>
    <t>FB05</t>
  </si>
  <si>
    <t>FB06</t>
  </si>
  <si>
    <t>FB07</t>
  </si>
  <si>
    <t>FB08</t>
  </si>
  <si>
    <t>FB09</t>
  </si>
  <si>
    <t>FB10</t>
  </si>
  <si>
    <t>FB11</t>
  </si>
  <si>
    <t>FB12</t>
  </si>
  <si>
    <t>FB13</t>
  </si>
  <si>
    <t>FB14</t>
  </si>
  <si>
    <t>FB15</t>
  </si>
  <si>
    <t>FB16</t>
  </si>
  <si>
    <t>FB18</t>
  </si>
  <si>
    <t>FB19</t>
  </si>
  <si>
    <t>FB20</t>
  </si>
  <si>
    <t>FB21</t>
  </si>
  <si>
    <t>FB22</t>
  </si>
  <si>
    <t>FC01</t>
  </si>
  <si>
    <t>FC02</t>
  </si>
  <si>
    <t>FC03</t>
  </si>
  <si>
    <t>FC04</t>
  </si>
  <si>
    <t>FC05</t>
  </si>
  <si>
    <t>FC06</t>
  </si>
  <si>
    <t>FC07</t>
  </si>
  <si>
    <t>FC08</t>
  </si>
  <si>
    <t>FC09</t>
  </si>
  <si>
    <t>FC10</t>
  </si>
  <si>
    <t>FC11</t>
  </si>
  <si>
    <t>FC12</t>
  </si>
  <si>
    <t>FC13</t>
  </si>
  <si>
    <t>FC14</t>
  </si>
  <si>
    <t>FC15</t>
  </si>
  <si>
    <t>SQ19</t>
  </si>
  <si>
    <t>SQ20</t>
  </si>
  <si>
    <t>SQ21</t>
  </si>
  <si>
    <t>SQ22</t>
  </si>
  <si>
    <t>FC16</t>
  </si>
  <si>
    <t>FC18</t>
  </si>
  <si>
    <t>FC19</t>
  </si>
  <si>
    <t>FC20</t>
  </si>
  <si>
    <t>FC21</t>
  </si>
  <si>
    <t>FC22</t>
  </si>
  <si>
    <t>FH01</t>
  </si>
  <si>
    <t>FH02</t>
  </si>
  <si>
    <t>FH03</t>
  </si>
  <si>
    <t>FH04</t>
  </si>
  <si>
    <t>FH05</t>
  </si>
  <si>
    <t>FH06</t>
  </si>
  <si>
    <t>FH07</t>
  </si>
  <si>
    <t>FH08</t>
  </si>
  <si>
    <t>FH09</t>
  </si>
  <si>
    <t>FH10</t>
  </si>
  <si>
    <t>FH11</t>
  </si>
  <si>
    <t>FH12</t>
  </si>
  <si>
    <t>FH13</t>
  </si>
  <si>
    <t>FH14</t>
  </si>
  <si>
    <t>FH15</t>
  </si>
  <si>
    <t>FH16</t>
  </si>
  <si>
    <t>FH18</t>
  </si>
  <si>
    <t>FH19</t>
  </si>
  <si>
    <t>FH20</t>
  </si>
  <si>
    <t>FH21</t>
  </si>
  <si>
    <t>FH22</t>
  </si>
  <si>
    <t>FI01</t>
  </si>
  <si>
    <t>FI02</t>
  </si>
  <si>
    <t>VI15</t>
  </si>
  <si>
    <t>VI16</t>
  </si>
  <si>
    <t>VI17</t>
  </si>
  <si>
    <t>VI18</t>
  </si>
  <si>
    <t>VI19</t>
  </si>
  <si>
    <t>VI20</t>
  </si>
  <si>
    <t>VI21</t>
  </si>
  <si>
    <t>VI22</t>
  </si>
  <si>
    <t>VN01</t>
  </si>
  <si>
    <t>VN02</t>
  </si>
  <si>
    <t>VN03</t>
  </si>
  <si>
    <t>VN04</t>
  </si>
  <si>
    <t>VN05</t>
  </si>
  <si>
    <t>VN06</t>
  </si>
  <si>
    <t>VN07</t>
  </si>
  <si>
    <t>VN08</t>
  </si>
  <si>
    <t>VN09</t>
  </si>
  <si>
    <t>VN10</t>
  </si>
  <si>
    <t>VN11</t>
  </si>
  <si>
    <t>VN12</t>
  </si>
  <si>
    <t>VN13</t>
  </si>
  <si>
    <t>VN14</t>
  </si>
  <si>
    <t>VN15</t>
  </si>
  <si>
    <t>VN16</t>
  </si>
  <si>
    <t>VN17</t>
  </si>
  <si>
    <t>VN18</t>
  </si>
  <si>
    <t>VN19</t>
  </si>
  <si>
    <t>VN20</t>
  </si>
  <si>
    <t>VN21</t>
  </si>
  <si>
    <t>VN22</t>
  </si>
  <si>
    <t>VZ17</t>
  </si>
  <si>
    <t>YC01</t>
  </si>
  <si>
    <t>YC02</t>
  </si>
  <si>
    <t>YC03</t>
  </si>
  <si>
    <t>YC04</t>
  </si>
  <si>
    <t>YC05</t>
  </si>
  <si>
    <t>YC06</t>
  </si>
  <si>
    <t>YC07</t>
  </si>
  <si>
    <t>YC08</t>
  </si>
  <si>
    <t>YC09</t>
  </si>
  <si>
    <t>YC10</t>
  </si>
  <si>
    <t>YC11</t>
  </si>
  <si>
    <t>YC12</t>
  </si>
  <si>
    <t>YC13</t>
  </si>
  <si>
    <t>YC14</t>
  </si>
  <si>
    <t>YC15</t>
  </si>
  <si>
    <t>YC16</t>
  </si>
  <si>
    <t>YC18</t>
  </si>
  <si>
    <t>YC19</t>
  </si>
  <si>
    <t>YC20</t>
  </si>
  <si>
    <t>YC21</t>
  </si>
  <si>
    <t>YC22</t>
  </si>
  <si>
    <t>YD01</t>
  </si>
  <si>
    <t>YD02</t>
  </si>
  <si>
    <t>YD03</t>
  </si>
  <si>
    <t>YD04</t>
  </si>
  <si>
    <t>CW07</t>
  </si>
  <si>
    <t>CW08</t>
  </si>
  <si>
    <t>CW09</t>
  </si>
  <si>
    <t>CW10</t>
  </si>
  <si>
    <t>ZM01</t>
  </si>
  <si>
    <t>ZM02</t>
  </si>
  <si>
    <t>ZM03</t>
  </si>
  <si>
    <t>ZM04</t>
  </si>
  <si>
    <t>ZM05</t>
  </si>
  <si>
    <t>ZM06</t>
  </si>
  <si>
    <t>FP01.2</t>
  </si>
  <si>
    <t>FP01.3</t>
  </si>
  <si>
    <t>FP01.4</t>
  </si>
  <si>
    <t>FP01.5</t>
  </si>
  <si>
    <t>ZM07</t>
  </si>
  <si>
    <t>ZM08</t>
  </si>
  <si>
    <t>ZM09</t>
  </si>
  <si>
    <t>YD05</t>
  </si>
  <si>
    <t>YD06</t>
  </si>
  <si>
    <t>YD07</t>
  </si>
  <si>
    <t>YD08</t>
  </si>
  <si>
    <t>YD09</t>
  </si>
  <si>
    <t>YD10</t>
  </si>
  <si>
    <t>YD11</t>
  </si>
  <si>
    <t>YD12</t>
  </si>
  <si>
    <t>YD13</t>
  </si>
  <si>
    <t>YD14</t>
  </si>
  <si>
    <t>YD15</t>
  </si>
  <si>
    <t>YD16</t>
  </si>
  <si>
    <t>YD18</t>
  </si>
  <si>
    <t>YD19</t>
  </si>
  <si>
    <t>YD20</t>
  </si>
  <si>
    <t>YD21</t>
  </si>
  <si>
    <t>YD22</t>
  </si>
  <si>
    <t>AI20</t>
  </si>
  <si>
    <t>AI21</t>
  </si>
  <si>
    <t>AI22</t>
  </si>
  <si>
    <t>ZM10</t>
  </si>
  <si>
    <t>ZM11</t>
  </si>
  <si>
    <t>ZM12</t>
  </si>
  <si>
    <t>ZM13</t>
  </si>
  <si>
    <t>ZM14</t>
  </si>
  <si>
    <t>ZM15</t>
  </si>
  <si>
    <t>ZM16</t>
  </si>
  <si>
    <t>ZM17</t>
  </si>
  <si>
    <t>ZM18</t>
  </si>
  <si>
    <t>ZM19</t>
  </si>
  <si>
    <t>ZM20</t>
  </si>
  <si>
    <t>ZM21</t>
  </si>
  <si>
    <t>ZM22</t>
  </si>
  <si>
    <t>ZI01</t>
  </si>
  <si>
    <t>ZI02</t>
  </si>
  <si>
    <t>ZI03</t>
  </si>
  <si>
    <t>ZI04</t>
  </si>
  <si>
    <t>ZI05</t>
  </si>
  <si>
    <t>ZI06</t>
  </si>
  <si>
    <t>ZI07</t>
  </si>
  <si>
    <t>ZI08</t>
  </si>
  <si>
    <t>ZI09</t>
  </si>
  <si>
    <t>ZI10</t>
  </si>
  <si>
    <t>ZI11</t>
  </si>
  <si>
    <t>ZI12</t>
  </si>
  <si>
    <t>ZI13</t>
  </si>
  <si>
    <t>ZI14</t>
  </si>
  <si>
    <t>ZI15</t>
  </si>
  <si>
    <t>ZI16</t>
  </si>
  <si>
    <t>ZI17</t>
  </si>
  <si>
    <t>ZI18</t>
  </si>
  <si>
    <t>FO17</t>
  </si>
  <si>
    <t>FP17</t>
  </si>
  <si>
    <t>FS17</t>
  </si>
  <si>
    <t>AZ17</t>
  </si>
  <si>
    <t>RN17</t>
  </si>
  <si>
    <t>SA17</t>
  </si>
  <si>
    <t>SH17</t>
  </si>
  <si>
    <t>MH09</t>
  </si>
  <si>
    <t>MH11.3</t>
  </si>
  <si>
    <t>MH15</t>
  </si>
  <si>
    <t>MH17</t>
  </si>
  <si>
    <t>MH19</t>
  </si>
  <si>
    <t>MH20</t>
  </si>
  <si>
    <t>ZI19</t>
  </si>
  <si>
    <t>ZI20</t>
  </si>
  <si>
    <t>ZI21</t>
  </si>
  <si>
    <t>ZI22</t>
  </si>
  <si>
    <t>ZN01</t>
  </si>
  <si>
    <t>ZN02</t>
  </si>
  <si>
    <t>ZN03</t>
  </si>
  <si>
    <t>ZN04</t>
  </si>
  <si>
    <t>ZN05</t>
  </si>
  <si>
    <t>ZN06</t>
  </si>
  <si>
    <t>ZN07</t>
  </si>
  <si>
    <t>ZN08</t>
  </si>
  <si>
    <t>ZN09</t>
  </si>
  <si>
    <t>ZN10</t>
  </si>
  <si>
    <t>ZN11</t>
  </si>
  <si>
    <t>ZN12</t>
  </si>
  <si>
    <t>ZN13</t>
  </si>
  <si>
    <t>ZN14</t>
  </si>
  <si>
    <t>ZN15</t>
  </si>
  <si>
    <t>ZN16</t>
  </si>
  <si>
    <t>ZN17</t>
  </si>
  <si>
    <t>ZN18</t>
  </si>
  <si>
    <t>ZN19</t>
  </si>
  <si>
    <t>ZN20</t>
  </si>
  <si>
    <t>ZN21</t>
  </si>
  <si>
    <t>ZN22</t>
  </si>
  <si>
    <t>ZC01</t>
  </si>
  <si>
    <t>ZC02</t>
  </si>
  <si>
    <t>ZC03</t>
  </si>
  <si>
    <t>ZC04</t>
  </si>
  <si>
    <t>ZC05</t>
  </si>
  <si>
    <t>ZC06</t>
  </si>
  <si>
    <t>ZC07</t>
  </si>
  <si>
    <t>ZC08</t>
  </si>
  <si>
    <t>ZC09</t>
  </si>
  <si>
    <t>ZC10</t>
  </si>
  <si>
    <t>ZC11</t>
  </si>
  <si>
    <t>ZC12</t>
  </si>
  <si>
    <t>ZC13</t>
  </si>
  <si>
    <t>ZC14</t>
  </si>
  <si>
    <t>ZC15</t>
  </si>
  <si>
    <t>ZC16</t>
  </si>
  <si>
    <t>ZC17</t>
  </si>
  <si>
    <t>ZC18</t>
  </si>
  <si>
    <t>ZC19</t>
  </si>
  <si>
    <t>ZC20</t>
  </si>
  <si>
    <t>ZC21</t>
  </si>
  <si>
    <t>ZC22</t>
  </si>
  <si>
    <t>ZF01</t>
  </si>
  <si>
    <t>ZF02</t>
  </si>
  <si>
    <t>ZF03</t>
  </si>
  <si>
    <t>ZF04</t>
  </si>
  <si>
    <t>ZF05</t>
  </si>
  <si>
    <t>ZF06</t>
  </si>
  <si>
    <t>SK17</t>
  </si>
  <si>
    <t>ZF07</t>
  </si>
  <si>
    <t>ZF08</t>
  </si>
  <si>
    <t>ZF09</t>
  </si>
  <si>
    <t>ZF10</t>
  </si>
  <si>
    <t>ZF11</t>
  </si>
  <si>
    <t>ZF12</t>
  </si>
  <si>
    <t>ZF13</t>
  </si>
  <si>
    <t>ZF14</t>
  </si>
  <si>
    <t>ZF15</t>
  </si>
  <si>
    <t>ZF16</t>
  </si>
  <si>
    <t>ZF17</t>
  </si>
  <si>
    <t>ZF18</t>
  </si>
  <si>
    <t>ZF19</t>
  </si>
  <si>
    <t>ZF20</t>
  </si>
  <si>
    <t>ZF21</t>
  </si>
  <si>
    <t>ZF22</t>
  </si>
  <si>
    <t>ZS01</t>
  </si>
  <si>
    <t>ZS02</t>
  </si>
  <si>
    <t>ZS03</t>
  </si>
  <si>
    <t>ZS04</t>
  </si>
  <si>
    <t>ZS05</t>
  </si>
  <si>
    <t>ZS06</t>
  </si>
  <si>
    <t>ZS07</t>
  </si>
  <si>
    <t>ZS08</t>
  </si>
  <si>
    <t>ZS09</t>
  </si>
  <si>
    <t>ZS10</t>
  </si>
  <si>
    <t>ZS11</t>
  </si>
  <si>
    <t>ZS12</t>
  </si>
  <si>
    <t>ZS13</t>
  </si>
  <si>
    <t>SN10</t>
  </si>
  <si>
    <t>MA08</t>
  </si>
  <si>
    <t>MA11</t>
  </si>
  <si>
    <t>MA12</t>
  </si>
  <si>
    <t>MA19.1</t>
  </si>
  <si>
    <t>MA19.2</t>
  </si>
  <si>
    <t>MA22</t>
  </si>
  <si>
    <t>YC17</t>
  </si>
  <si>
    <t>YD17</t>
  </si>
  <si>
    <t>BZ17</t>
  </si>
  <si>
    <t>NI01</t>
  </si>
  <si>
    <t>NI02</t>
  </si>
  <si>
    <t>NI03</t>
  </si>
  <si>
    <t>NI04</t>
  </si>
  <si>
    <t>NI05</t>
  </si>
  <si>
    <t>NI06</t>
  </si>
  <si>
    <t>NI07</t>
  </si>
  <si>
    <t>NI08</t>
  </si>
  <si>
    <t>NI09</t>
  </si>
  <si>
    <t>NI10</t>
  </si>
  <si>
    <t>NI11</t>
  </si>
  <si>
    <t>NI12</t>
  </si>
  <si>
    <t>NI13</t>
  </si>
  <si>
    <t>NI14</t>
  </si>
  <si>
    <t>NI15</t>
  </si>
  <si>
    <t>NI16</t>
  </si>
  <si>
    <t>NI17</t>
  </si>
  <si>
    <t>NI18</t>
  </si>
  <si>
    <t>NI19</t>
  </si>
  <si>
    <t>NI20</t>
  </si>
  <si>
    <t>NI21</t>
  </si>
  <si>
    <t>NI22</t>
  </si>
  <si>
    <t>NN01</t>
  </si>
  <si>
    <t>NN02</t>
  </si>
  <si>
    <t>NN03</t>
  </si>
  <si>
    <t>NN04</t>
  </si>
  <si>
    <t>ZD18</t>
  </si>
  <si>
    <t>ZD19</t>
  </si>
  <si>
    <t>ZD20</t>
  </si>
  <si>
    <t>ZD21</t>
  </si>
  <si>
    <t>ZD22</t>
  </si>
  <si>
    <t>PN19</t>
  </si>
  <si>
    <t>PN20</t>
  </si>
  <si>
    <t>PN21</t>
  </si>
  <si>
    <t>PN22</t>
  </si>
  <si>
    <t>PN13</t>
  </si>
  <si>
    <t>PN16</t>
  </si>
  <si>
    <t>PI17</t>
  </si>
  <si>
    <t>PI08</t>
  </si>
  <si>
    <t>PI09</t>
  </si>
  <si>
    <t>PI10</t>
  </si>
  <si>
    <t>PI11</t>
  </si>
  <si>
    <t>PI12</t>
  </si>
  <si>
    <t>PI07</t>
  </si>
  <si>
    <t>PI15</t>
  </si>
  <si>
    <t>PI14</t>
  </si>
  <si>
    <t>PI18</t>
  </si>
  <si>
    <t>PI19</t>
  </si>
  <si>
    <t>PI20</t>
  </si>
  <si>
    <t>PI21</t>
  </si>
  <si>
    <t>PI22</t>
  </si>
  <si>
    <t>PI13</t>
  </si>
  <si>
    <t>PI16</t>
  </si>
  <si>
    <t>PZ17</t>
  </si>
  <si>
    <t>KB06</t>
  </si>
  <si>
    <t>KB07</t>
  </si>
  <si>
    <t>KB08</t>
  </si>
  <si>
    <t>KB09</t>
  </si>
  <si>
    <t>KB10</t>
  </si>
  <si>
    <t>KB11</t>
  </si>
  <si>
    <t>KB12</t>
  </si>
  <si>
    <t>KB13</t>
  </si>
  <si>
    <t>KB14</t>
  </si>
  <si>
    <t>KB15</t>
  </si>
  <si>
    <t>KB16</t>
  </si>
  <si>
    <t>KB17</t>
  </si>
  <si>
    <t>KB18</t>
  </si>
  <si>
    <t>KB19</t>
  </si>
  <si>
    <t>KB20</t>
  </si>
  <si>
    <t>KB21</t>
  </si>
  <si>
    <t>KB22</t>
  </si>
  <si>
    <t>KH18</t>
  </si>
  <si>
    <t>KH19</t>
  </si>
  <si>
    <t>KH20</t>
  </si>
  <si>
    <t>KH21</t>
  </si>
  <si>
    <t>KH22</t>
  </si>
  <si>
    <t>KI06</t>
  </si>
  <si>
    <t>KI07</t>
  </si>
  <si>
    <t>KI08</t>
  </si>
  <si>
    <t>KI09</t>
  </si>
  <si>
    <t>KI10</t>
  </si>
  <si>
    <t>KI11</t>
  </si>
  <si>
    <t>KI12</t>
  </si>
  <si>
    <t>KI12.1</t>
  </si>
  <si>
    <t>KI12.2</t>
  </si>
  <si>
    <t>AI19</t>
  </si>
  <si>
    <t>MI07</t>
  </si>
  <si>
    <t>MI08</t>
  </si>
  <si>
    <t>MI09</t>
  </si>
  <si>
    <t>MI10</t>
  </si>
  <si>
    <t>MI11</t>
  </si>
  <si>
    <t>ZZ04</t>
  </si>
  <si>
    <t>KI13</t>
  </si>
  <si>
    <t>KI14</t>
  </si>
  <si>
    <t>KI15</t>
  </si>
  <si>
    <t>KI16</t>
  </si>
  <si>
    <t>KI17</t>
  </si>
  <si>
    <t>KI18</t>
  </si>
  <si>
    <t>KI19</t>
  </si>
  <si>
    <t>KI20</t>
  </si>
  <si>
    <t>KI21</t>
  </si>
  <si>
    <t>KI22</t>
  </si>
  <si>
    <t>KN06</t>
  </si>
  <si>
    <t>KN07</t>
  </si>
  <si>
    <t>KN08</t>
  </si>
  <si>
    <t>KN09</t>
  </si>
  <si>
    <t>KN10</t>
  </si>
  <si>
    <t>KN11</t>
  </si>
  <si>
    <t>KN12</t>
  </si>
  <si>
    <t>KN13</t>
  </si>
  <si>
    <t>KN14</t>
  </si>
  <si>
    <t>KN15</t>
  </si>
  <si>
    <t>KN16</t>
  </si>
  <si>
    <t>KN17</t>
  </si>
  <si>
    <t>KN18</t>
  </si>
  <si>
    <t>KN19</t>
  </si>
  <si>
    <t>KN20</t>
  </si>
  <si>
    <t>KN21</t>
  </si>
  <si>
    <t>KN22</t>
  </si>
  <si>
    <t>KZ17</t>
  </si>
  <si>
    <t>KI10.1</t>
  </si>
  <si>
    <t>KU06</t>
  </si>
  <si>
    <t>KU07</t>
  </si>
  <si>
    <t>KU08</t>
  </si>
  <si>
    <t>KU09</t>
  </si>
  <si>
    <t>KU10</t>
  </si>
  <si>
    <t>KU11</t>
  </si>
  <si>
    <t>KU12</t>
  </si>
  <si>
    <t>KU13</t>
  </si>
  <si>
    <t>KU14</t>
  </si>
  <si>
    <t>KU15</t>
  </si>
  <si>
    <t>KU16</t>
  </si>
  <si>
    <t>KU17</t>
  </si>
  <si>
    <t>KU18</t>
  </si>
  <si>
    <t>KU19</t>
  </si>
  <si>
    <t>KU20</t>
  </si>
  <si>
    <t>KU21</t>
  </si>
  <si>
    <t>KU22</t>
  </si>
  <si>
    <t>RN01</t>
  </si>
  <si>
    <t>RN02</t>
  </si>
  <si>
    <t>RN03</t>
  </si>
  <si>
    <t>RN04</t>
  </si>
  <si>
    <t>RN05</t>
  </si>
  <si>
    <t>RN06</t>
  </si>
  <si>
    <t>RN07</t>
  </si>
  <si>
    <t>RN08</t>
  </si>
  <si>
    <t>RN09</t>
  </si>
  <si>
    <t>RN10</t>
  </si>
  <si>
    <t>RN11</t>
  </si>
  <si>
    <t>RN12</t>
  </si>
  <si>
    <t>RN13</t>
  </si>
  <si>
    <t>RN14</t>
  </si>
  <si>
    <t>RN15</t>
  </si>
  <si>
    <t>RN16</t>
  </si>
  <si>
    <t>RN18</t>
  </si>
  <si>
    <t>BC02</t>
  </si>
  <si>
    <t>BC03</t>
  </si>
  <si>
    <t>BC04</t>
  </si>
  <si>
    <t>BC05</t>
  </si>
  <si>
    <t>BC06</t>
  </si>
  <si>
    <t>BC07</t>
  </si>
  <si>
    <t>BC08</t>
  </si>
  <si>
    <t>KI13.1</t>
  </si>
  <si>
    <t>KI13.2</t>
  </si>
  <si>
    <t>KI14.1</t>
  </si>
  <si>
    <t>KI14.2</t>
  </si>
  <si>
    <t>KI16.1</t>
  </si>
  <si>
    <t>KI16.2</t>
  </si>
  <si>
    <t>KH11</t>
  </si>
  <si>
    <t>KH14.1</t>
  </si>
  <si>
    <t>KH14.2</t>
  </si>
  <si>
    <t>KH16.1</t>
  </si>
  <si>
    <t>KH16.2</t>
  </si>
  <si>
    <t>ZW03</t>
  </si>
  <si>
    <t>ZW04</t>
  </si>
  <si>
    <t>ZW05</t>
  </si>
  <si>
    <t>ZW06</t>
  </si>
  <si>
    <t>ZW07</t>
  </si>
  <si>
    <t>ZW08</t>
  </si>
  <si>
    <t>FU15</t>
  </si>
  <si>
    <t>FU16</t>
  </si>
  <si>
    <t>ZW09</t>
  </si>
  <si>
    <t>ZW10</t>
  </si>
  <si>
    <t>ZW11</t>
  </si>
  <si>
    <t>ZW12</t>
  </si>
  <si>
    <t>ZW13</t>
  </si>
  <si>
    <t>ZW14</t>
  </si>
  <si>
    <t>ZW15</t>
  </si>
  <si>
    <t>ZW16</t>
  </si>
  <si>
    <t>ZW17</t>
  </si>
  <si>
    <t>ZW18</t>
  </si>
  <si>
    <t>RN20</t>
  </si>
  <si>
    <t>RN21</t>
  </si>
  <si>
    <t>RN22</t>
  </si>
  <si>
    <t>RR05</t>
  </si>
  <si>
    <t>RR06</t>
  </si>
  <si>
    <t>RR07</t>
  </si>
  <si>
    <t>RR08</t>
  </si>
  <si>
    <t>RR09</t>
  </si>
  <si>
    <t>RR10</t>
  </si>
  <si>
    <t>RR11</t>
  </si>
  <si>
    <t>RR12</t>
  </si>
  <si>
    <t>RR13</t>
  </si>
  <si>
    <t>RR14</t>
  </si>
  <si>
    <t>RR15</t>
  </si>
  <si>
    <t>RR16</t>
  </si>
  <si>
    <t>RR17</t>
  </si>
  <si>
    <t>RR18</t>
  </si>
  <si>
    <t>RR19</t>
  </si>
  <si>
    <t>RR20</t>
  </si>
  <si>
    <t>RR21</t>
  </si>
  <si>
    <t>RR22</t>
  </si>
  <si>
    <t>BC09</t>
  </si>
  <si>
    <t>BC10</t>
  </si>
  <si>
    <t>BC11</t>
  </si>
  <si>
    <t>BC12</t>
  </si>
  <si>
    <t>ZW19</t>
  </si>
  <si>
    <t>ZW20</t>
  </si>
  <si>
    <t>ZW21</t>
  </si>
  <si>
    <t>FU12</t>
  </si>
  <si>
    <t>ZW22</t>
  </si>
  <si>
    <t>SI08</t>
  </si>
  <si>
    <t>SI10</t>
  </si>
  <si>
    <t>FU14</t>
  </si>
  <si>
    <t>FU13</t>
  </si>
  <si>
    <t>FU21</t>
  </si>
  <si>
    <t>FU20</t>
  </si>
  <si>
    <t>FU22</t>
  </si>
  <si>
    <t>MS02</t>
  </si>
  <si>
    <t>MS03</t>
  </si>
  <si>
    <t>MS05</t>
  </si>
  <si>
    <t>MS07</t>
  </si>
  <si>
    <t>MS09</t>
  </si>
  <si>
    <t>MS12</t>
  </si>
  <si>
    <t>MS16</t>
  </si>
  <si>
    <t>MS17</t>
  </si>
  <si>
    <t>MS18</t>
  </si>
  <si>
    <t>MS19</t>
  </si>
  <si>
    <t>MS20</t>
  </si>
  <si>
    <t>MS21</t>
  </si>
  <si>
    <t>MS22</t>
  </si>
  <si>
    <t>FU18</t>
  </si>
  <si>
    <t>FU17</t>
  </si>
  <si>
    <t>FU19</t>
  </si>
  <si>
    <t>FU04</t>
  </si>
  <si>
    <t>FU03</t>
  </si>
  <si>
    <t>KI10.2</t>
  </si>
  <si>
    <t>FU05</t>
  </si>
  <si>
    <t>FU01</t>
  </si>
  <si>
    <t>FU02</t>
  </si>
  <si>
    <t>FU10</t>
  </si>
  <si>
    <t>FU09</t>
  </si>
  <si>
    <t>FU11</t>
  </si>
  <si>
    <t>FU07</t>
  </si>
  <si>
    <t>FU06</t>
  </si>
  <si>
    <t>FU08</t>
  </si>
  <si>
    <t>RN19</t>
  </si>
  <si>
    <t>RZ17</t>
  </si>
  <si>
    <t>SA11</t>
  </si>
  <si>
    <t>SA12</t>
  </si>
  <si>
    <t>SA13</t>
  </si>
  <si>
    <t>SA14</t>
  </si>
  <si>
    <t>SA15</t>
  </si>
  <si>
    <t>SA16</t>
  </si>
  <si>
    <t>SH09</t>
  </si>
  <si>
    <t>SH11</t>
  </si>
  <si>
    <t>SH12</t>
  </si>
  <si>
    <t>SH15</t>
  </si>
  <si>
    <t>SH16</t>
  </si>
  <si>
    <t>SK13</t>
  </si>
  <si>
    <t>SK14</t>
  </si>
  <si>
    <t>SK15</t>
  </si>
  <si>
    <t>SK16</t>
  </si>
  <si>
    <t>SN05</t>
  </si>
  <si>
    <t>SN09</t>
  </si>
  <si>
    <t>SN11</t>
  </si>
  <si>
    <t>SN12</t>
  </si>
  <si>
    <t>SN13</t>
  </si>
  <si>
    <t>SN14</t>
  </si>
  <si>
    <t>SN15</t>
  </si>
  <si>
    <t>SN16</t>
  </si>
  <si>
    <t>SN17</t>
  </si>
  <si>
    <t>SN18</t>
  </si>
  <si>
    <t>SN19</t>
  </si>
  <si>
    <t>SN20</t>
  </si>
  <si>
    <t>SN21</t>
  </si>
  <si>
    <t>SN22</t>
  </si>
  <si>
    <t>FN17</t>
  </si>
  <si>
    <t>SZ17</t>
  </si>
  <si>
    <t>VI01</t>
  </si>
  <si>
    <t>VI02</t>
  </si>
  <si>
    <t>VI03</t>
  </si>
  <si>
    <t>VI04</t>
  </si>
  <si>
    <t>VI05</t>
  </si>
  <si>
    <t>VI06</t>
  </si>
  <si>
    <t>VI07</t>
  </si>
  <si>
    <t>VI08</t>
  </si>
  <si>
    <t>VI09</t>
  </si>
  <si>
    <t>VI10</t>
  </si>
  <si>
    <t>VI11</t>
  </si>
  <si>
    <t>VI12</t>
  </si>
  <si>
    <t>VI13</t>
  </si>
  <si>
    <t>VI14</t>
  </si>
  <si>
    <t>AB02</t>
  </si>
  <si>
    <t>MT14</t>
  </si>
  <si>
    <t>AB08</t>
  </si>
  <si>
    <t>MT17</t>
  </si>
  <si>
    <t>AB09</t>
  </si>
  <si>
    <t>MT10</t>
  </si>
  <si>
    <t>AB03</t>
  </si>
  <si>
    <t>FJ18</t>
  </si>
  <si>
    <t>ZJ14</t>
  </si>
  <si>
    <t>FJ13</t>
  </si>
  <si>
    <t>FJ19</t>
  </si>
  <si>
    <t>FJ16</t>
  </si>
  <si>
    <t>ZJ17</t>
  </si>
  <si>
    <t>ZJ16</t>
  </si>
  <si>
    <t>FJ14</t>
  </si>
  <si>
    <t>FJ11</t>
  </si>
  <si>
    <t>FJ17</t>
  </si>
  <si>
    <t>FJ12</t>
  </si>
  <si>
    <t>GJ01</t>
  </si>
  <si>
    <t>YJ19</t>
  </si>
  <si>
    <t>YJ21</t>
  </si>
  <si>
    <t>BJ21</t>
  </si>
  <si>
    <t>BJ20</t>
  </si>
  <si>
    <t>GJ02</t>
  </si>
  <si>
    <t>FJ21</t>
  </si>
  <si>
    <t>FJ20</t>
  </si>
  <si>
    <t>YJ20</t>
  </si>
  <si>
    <t>BJ22</t>
  </si>
  <si>
    <t>FJ22</t>
  </si>
  <si>
    <t>BJ12</t>
  </si>
  <si>
    <t>YJ16</t>
  </si>
  <si>
    <t>YJ15</t>
  </si>
  <si>
    <t>BJ18</t>
  </si>
  <si>
    <t>BJ11</t>
  </si>
  <si>
    <t>YJ18</t>
  </si>
  <si>
    <t>BJ19</t>
  </si>
  <si>
    <t>FJ04</t>
  </si>
  <si>
    <t>FJ03</t>
  </si>
  <si>
    <t>ZJ12</t>
  </si>
  <si>
    <t>YJ17</t>
  </si>
  <si>
    <t>ZJ05</t>
  </si>
  <si>
    <t>FJ05</t>
  </si>
  <si>
    <t>ZJ11</t>
  </si>
  <si>
    <t>ZJ04</t>
  </si>
  <si>
    <t>ZJ06</t>
  </si>
  <si>
    <t>FJ01</t>
  </si>
  <si>
    <t>ZJ13</t>
  </si>
  <si>
    <t>ZJ08</t>
  </si>
  <si>
    <t>ZJ01</t>
  </si>
  <si>
    <t>FJ02</t>
  </si>
  <si>
    <t>GJ06</t>
  </si>
  <si>
    <t>ZJ07</t>
  </si>
  <si>
    <t>YJ22</t>
  </si>
  <si>
    <t>GJ07</t>
  </si>
  <si>
    <t>ZJ10</t>
  </si>
  <si>
    <t>ZJ03</t>
  </si>
  <si>
    <t>ZJ02</t>
  </si>
  <si>
    <t>ZJ22</t>
  </si>
  <si>
    <t>GJ03</t>
  </si>
  <si>
    <t>ZJ09</t>
  </si>
  <si>
    <t>GJ05</t>
  </si>
  <si>
    <t>GJ04</t>
  </si>
  <si>
    <t>GJ11</t>
  </si>
  <si>
    <t>ZJ19</t>
  </si>
  <si>
    <t>FJ08</t>
  </si>
  <si>
    <t>FJ10</t>
  </si>
  <si>
    <t>FJ09</t>
  </si>
  <si>
    <t>GJ12</t>
  </si>
  <si>
    <t>ZJ18</t>
  </si>
  <si>
    <t>ZJ21</t>
  </si>
  <si>
    <t>FJ06</t>
  </si>
  <si>
    <t>FJ15</t>
  </si>
  <si>
    <t>GJ08</t>
  </si>
  <si>
    <t>ZJ20</t>
  </si>
  <si>
    <t>ZJ15</t>
  </si>
  <si>
    <t>FJ07</t>
  </si>
  <si>
    <t>GJ10</t>
  </si>
  <si>
    <t>GJ09</t>
  </si>
  <si>
    <t>JJ04</t>
  </si>
  <si>
    <t>JJ11</t>
  </si>
  <si>
    <t>JJ10</t>
  </si>
  <si>
    <t>JJ12</t>
  </si>
  <si>
    <t>KJ13</t>
  </si>
  <si>
    <t>IJ08</t>
  </si>
  <si>
    <t>IJ13</t>
  </si>
  <si>
    <t>IJ14</t>
  </si>
  <si>
    <t>KJ14</t>
  </si>
  <si>
    <t>IJ09</t>
  </si>
  <si>
    <t>IJ06</t>
  </si>
  <si>
    <t>IJ11</t>
  </si>
  <si>
    <t>IJ12</t>
  </si>
  <si>
    <t>JJ08</t>
  </si>
  <si>
    <t>JJ09</t>
  </si>
  <si>
    <t>KJ11</t>
  </si>
  <si>
    <t>KJ10</t>
  </si>
  <si>
    <t>KJ12</t>
  </si>
  <si>
    <t>IJ07</t>
  </si>
  <si>
    <t>IJ18</t>
  </si>
  <si>
    <t>JJ16</t>
  </si>
  <si>
    <t>JJ15</t>
  </si>
  <si>
    <t>GJ16</t>
  </si>
  <si>
    <t>GJ15</t>
  </si>
  <si>
    <t>GJ17</t>
  </si>
  <si>
    <t>NJ20</t>
  </si>
  <si>
    <t>NJ22</t>
  </si>
  <si>
    <t>NJ21</t>
  </si>
  <si>
    <t>JJ17</t>
  </si>
  <si>
    <t>IJ03</t>
  </si>
  <si>
    <t>IJ05</t>
  </si>
  <si>
    <t>IJ04</t>
  </si>
  <si>
    <t>IJ16</t>
  </si>
  <si>
    <t>IJ15</t>
  </si>
  <si>
    <t>IJ17</t>
  </si>
  <si>
    <t>JJ13</t>
  </si>
  <si>
    <t>JJ14</t>
  </si>
  <si>
    <t>IJ01</t>
  </si>
  <si>
    <t>GJ13</t>
  </si>
  <si>
    <t>GJ14</t>
  </si>
  <si>
    <t>KJ18</t>
  </si>
  <si>
    <t>IJ02</t>
  </si>
  <si>
    <t>GJ21</t>
  </si>
  <si>
    <t>GJ20</t>
  </si>
  <si>
    <t>IJ19</t>
  </si>
  <si>
    <t>KJ19</t>
  </si>
  <si>
    <t>BJ08</t>
  </si>
  <si>
    <t>BJ10</t>
  </si>
  <si>
    <t>GJ22</t>
  </si>
  <si>
    <t>BJ07</t>
  </si>
  <si>
    <t>BJ04</t>
  </si>
  <si>
    <t>BJ03</t>
  </si>
  <si>
    <t>KJ15</t>
  </si>
  <si>
    <t>KJ17</t>
  </si>
  <si>
    <t>BJ09</t>
  </si>
  <si>
    <t>BJ16</t>
  </si>
  <si>
    <t>GJ18</t>
  </si>
  <si>
    <t>BJ05</t>
  </si>
  <si>
    <t>KJ16</t>
  </si>
  <si>
    <t>BJ17</t>
  </si>
  <si>
    <t>PJ09</t>
  </si>
  <si>
    <t>VJ10</t>
  </si>
  <si>
    <t>VJ12</t>
  </si>
  <si>
    <t>VJ11</t>
  </si>
  <si>
    <t>PJ04</t>
  </si>
  <si>
    <t>PJ01</t>
  </si>
  <si>
    <t>PJ06</t>
  </si>
  <si>
    <t>PJ07</t>
  </si>
  <si>
    <t>VJ08</t>
  </si>
  <si>
    <t>PJ02</t>
  </si>
  <si>
    <t>PJ13</t>
  </si>
  <si>
    <t>VJ09</t>
  </si>
  <si>
    <t>NJ11</t>
  </si>
  <si>
    <t>NJ12</t>
  </si>
  <si>
    <t>VJ15</t>
  </si>
  <si>
    <t>VJ17</t>
  </si>
  <si>
    <t>NJ10</t>
  </si>
  <si>
    <t>PJ14</t>
  </si>
  <si>
    <t>PJ11</t>
  </si>
  <si>
    <t>PJ10</t>
  </si>
  <si>
    <t>PJ12</t>
  </si>
  <si>
    <t>NJ01</t>
  </si>
  <si>
    <t>VJ16</t>
  </si>
  <si>
    <t>VJ13</t>
  </si>
  <si>
    <t>NJ08</t>
  </si>
  <si>
    <t>NJ09</t>
  </si>
  <si>
    <t>NJ02</t>
  </si>
  <si>
    <t>VJ14</t>
  </si>
  <si>
    <t>SJ22</t>
  </si>
  <si>
    <t>NJ16</t>
  </si>
  <si>
    <t>NJ15</t>
  </si>
  <si>
    <t>NJ17</t>
  </si>
  <si>
    <t>MJ03</t>
  </si>
  <si>
    <t>MJ20</t>
  </si>
  <si>
    <t>MJ21</t>
  </si>
  <si>
    <t>MJ22</t>
  </si>
  <si>
    <t>SJ14</t>
  </si>
  <si>
    <t>SJ11</t>
  </si>
  <si>
    <t>SJ10</t>
  </si>
  <si>
    <t>MG17</t>
  </si>
  <si>
    <t>MH08</t>
  </si>
  <si>
    <t>MH10.1</t>
  </si>
  <si>
    <t>MH12.1</t>
  </si>
  <si>
    <t>MH11.1</t>
  </si>
  <si>
    <t>MG11</t>
  </si>
  <si>
    <t>MH10.2</t>
  </si>
  <si>
    <t>MH11.2</t>
  </si>
  <si>
    <t>MH12.2</t>
  </si>
  <si>
    <t>MG09</t>
  </si>
  <si>
    <t>MH21</t>
  </si>
  <si>
    <t>ID01</t>
  </si>
  <si>
    <t>KH10</t>
  </si>
  <si>
    <t>KH13</t>
  </si>
  <si>
    <t>KH17</t>
  </si>
  <si>
    <t>KI01</t>
  </si>
  <si>
    <t>KI02</t>
  </si>
  <si>
    <t>KI03</t>
  </si>
  <si>
    <t>KI04</t>
  </si>
  <si>
    <t>KI05</t>
  </si>
  <si>
    <t>KN01</t>
  </si>
  <si>
    <t>KN02</t>
  </si>
  <si>
    <t>KN03</t>
  </si>
  <si>
    <t>KN04</t>
  </si>
  <si>
    <t>KN05</t>
  </si>
  <si>
    <t>MG14</t>
  </si>
  <si>
    <t>MG16.1</t>
  </si>
  <si>
    <t>MG16.2</t>
  </si>
  <si>
    <t>WI22</t>
  </si>
  <si>
    <t>KC09</t>
  </si>
  <si>
    <t>GJ19</t>
  </si>
  <si>
    <t>JJ01</t>
  </si>
  <si>
    <t>JJ20</t>
  </si>
  <si>
    <t>JJ22</t>
  </si>
  <si>
    <t>BJ13</t>
  </si>
  <si>
    <t>BJ15</t>
  </si>
  <si>
    <t>IJ10</t>
  </si>
  <si>
    <t>JJ02</t>
  </si>
  <si>
    <t>JJ21</t>
  </si>
  <si>
    <t>JJ18</t>
  </si>
  <si>
    <t>KJ20</t>
  </si>
  <si>
    <t>KJ22</t>
  </si>
  <si>
    <t>KJ21</t>
  </si>
  <si>
    <t>BJ14</t>
  </si>
  <si>
    <t>BJ01</t>
  </si>
  <si>
    <t>IJ20</t>
  </si>
  <si>
    <t>IJ21</t>
  </si>
  <si>
    <t>IJ22</t>
  </si>
  <si>
    <t>JJ19</t>
  </si>
  <si>
    <t>KJ08</t>
  </si>
  <si>
    <t>BJ02</t>
  </si>
  <si>
    <t>JJ06</t>
  </si>
  <si>
    <t>KJ03</t>
  </si>
  <si>
    <t>KJ05</t>
  </si>
  <si>
    <t>KJ04</t>
  </si>
  <si>
    <t>KJ09</t>
  </si>
  <si>
    <t>JJ07</t>
  </si>
  <si>
    <t>RJ19</t>
  </si>
  <si>
    <t>RJ18</t>
  </si>
  <si>
    <t>SJ08</t>
  </si>
  <si>
    <t>YJ04</t>
  </si>
  <si>
    <t>SJ02</t>
  </si>
  <si>
    <t>YJ03</t>
  </si>
  <si>
    <t>SJ01</t>
  </si>
  <si>
    <t>SJ04</t>
  </si>
  <si>
    <t>KJ01</t>
  </si>
  <si>
    <t>RJ07</t>
  </si>
  <si>
    <t>RJ06</t>
  </si>
  <si>
    <t>RJ13</t>
  </si>
  <si>
    <t>RJ16</t>
  </si>
  <si>
    <t>RJ17</t>
  </si>
  <si>
    <t>RJ15</t>
  </si>
  <si>
    <t>SJ07</t>
  </si>
  <si>
    <t>SJ05</t>
  </si>
  <si>
    <t>SJ06</t>
  </si>
  <si>
    <t>SJ09</t>
  </si>
  <si>
    <t>YJ02</t>
  </si>
  <si>
    <t>VJ22</t>
  </si>
  <si>
    <t>YJ01</t>
  </si>
  <si>
    <t>RJ10</t>
  </si>
  <si>
    <t>RJ11</t>
  </si>
  <si>
    <t>SJ18</t>
  </si>
  <si>
    <t>SJ12</t>
  </si>
  <si>
    <t>YJ13</t>
  </si>
  <si>
    <t>RJ04</t>
  </si>
  <si>
    <t>RJ03</t>
  </si>
  <si>
    <t>RJ21</t>
  </si>
  <si>
    <t>RJ22</t>
  </si>
  <si>
    <t>RJ20</t>
  </si>
  <si>
    <t>RJ08</t>
  </si>
  <si>
    <t>SJ15</t>
  </si>
  <si>
    <t>YJ12</t>
  </si>
  <si>
    <t>YJ10</t>
  </si>
  <si>
    <t>RJ12</t>
  </si>
  <si>
    <t>SJ19</t>
  </si>
  <si>
    <t>YJ14</t>
  </si>
  <si>
    <t>VJ19</t>
  </si>
  <si>
    <t>VJ18</t>
  </si>
  <si>
    <t>SJ03</t>
  </si>
  <si>
    <t>VJ21</t>
  </si>
  <si>
    <t>SJ13</t>
  </si>
  <si>
    <t>RJ09</t>
  </si>
  <si>
    <t>SJ16</t>
  </si>
  <si>
    <t>SJ17</t>
  </si>
  <si>
    <t>VJ20</t>
  </si>
  <si>
    <t>YJ11</t>
  </si>
  <si>
    <t>YJ07</t>
  </si>
  <si>
    <t>YJ05</t>
  </si>
  <si>
    <t>RJ05</t>
  </si>
  <si>
    <t>RJ14</t>
  </si>
  <si>
    <t>YJ06</t>
  </si>
  <si>
    <t>YJ09</t>
  </si>
  <si>
    <t>KJ06</t>
  </si>
  <si>
    <t>KJ07</t>
  </si>
  <si>
    <t>BJ06</t>
  </si>
  <si>
    <t>JJ03</t>
  </si>
  <si>
    <t>JJ05</t>
  </si>
  <si>
    <t>KJ02</t>
  </si>
  <si>
    <t>NJ06</t>
  </si>
  <si>
    <t>VJ01</t>
  </si>
  <si>
    <t>VJ02</t>
  </si>
  <si>
    <t>MJ05</t>
  </si>
  <si>
    <t>MJ04</t>
  </si>
  <si>
    <t>MJ01</t>
  </si>
  <si>
    <t>NJ07</t>
  </si>
  <si>
    <t>NJ13</t>
  </si>
  <si>
    <t>NJ03</t>
  </si>
  <si>
    <t>NJ05</t>
  </si>
  <si>
    <t>SJ20</t>
  </si>
  <si>
    <t>SJ21</t>
  </si>
  <si>
    <t>NJ14</t>
  </si>
  <si>
    <t>PJ18</t>
  </si>
  <si>
    <t>MJ02</t>
  </si>
  <si>
    <t>NJ04</t>
  </si>
  <si>
    <t>VJ06</t>
  </si>
  <si>
    <t>VJ05</t>
  </si>
  <si>
    <t>PJ19</t>
  </si>
  <si>
    <t>MJ08</t>
  </si>
  <si>
    <t>MJ13</t>
  </si>
  <si>
    <t>MJ14</t>
  </si>
  <si>
    <t>VJ03</t>
  </si>
  <si>
    <t>PJ15</t>
  </si>
  <si>
    <t>PJ16</t>
  </si>
  <si>
    <t>PJ17</t>
  </si>
  <si>
    <t>MJ10</t>
  </si>
  <si>
    <t>MJ09</t>
  </si>
  <si>
    <t>MJ06</t>
  </si>
  <si>
    <t>MJ11</t>
  </si>
  <si>
    <t>MJ12</t>
  </si>
  <si>
    <t>VJ04</t>
  </si>
  <si>
    <t>YJ08</t>
  </si>
  <si>
    <t>RJ01</t>
  </si>
  <si>
    <t>MJ18</t>
  </si>
  <si>
    <t>VJ07</t>
  </si>
  <si>
    <t>RJ02</t>
  </si>
  <si>
    <t>MJ07</t>
  </si>
  <si>
    <t>MJ19</t>
  </si>
  <si>
    <t>NJ18</t>
  </si>
  <si>
    <t>PJ20</t>
  </si>
  <si>
    <t>PJ22</t>
  </si>
  <si>
    <t>MJ16</t>
  </si>
  <si>
    <t>MJ15</t>
  </si>
  <si>
    <t>MJ17</t>
  </si>
  <si>
    <t>NJ19</t>
  </si>
  <si>
    <t>PJ21</t>
  </si>
  <si>
    <t>PJ08</t>
  </si>
  <si>
    <t>PJ03</t>
  </si>
  <si>
    <t>PJ05</t>
  </si>
  <si>
    <t>NN05</t>
  </si>
  <si>
    <t>NN06</t>
  </si>
  <si>
    <t>NN07</t>
  </si>
  <si>
    <t>NN08</t>
  </si>
  <si>
    <t>NN09</t>
  </si>
  <si>
    <t>NN10</t>
  </si>
  <si>
    <t>NN11</t>
  </si>
  <si>
    <t>NN12</t>
  </si>
  <si>
    <t>NN13</t>
  </si>
  <si>
    <t>NN14</t>
  </si>
  <si>
    <t>NN15</t>
  </si>
  <si>
    <t>NN16</t>
  </si>
  <si>
    <t>NN17</t>
  </si>
  <si>
    <t>NN18</t>
  </si>
  <si>
    <t>NN19</t>
  </si>
  <si>
    <t>NN20</t>
  </si>
  <si>
    <t>NN21</t>
  </si>
  <si>
    <t>NN22</t>
  </si>
  <si>
    <t>NZ17</t>
  </si>
  <si>
    <t>IA12</t>
  </si>
  <si>
    <t>IA13</t>
  </si>
  <si>
    <t>IA21</t>
  </si>
  <si>
    <t>ID07</t>
  </si>
  <si>
    <t>ID10</t>
  </si>
  <si>
    <t>ID13.1</t>
  </si>
  <si>
    <t>ID13.2</t>
  </si>
  <si>
    <t>ID16</t>
  </si>
  <si>
    <t>ID21</t>
  </si>
  <si>
    <t>IF09</t>
  </si>
  <si>
    <t>IF11</t>
  </si>
  <si>
    <t>IF12</t>
  </si>
  <si>
    <t>IF14</t>
  </si>
  <si>
    <t>IF15.1</t>
  </si>
  <si>
    <t>IF15.2</t>
  </si>
  <si>
    <t>IF17</t>
  </si>
  <si>
    <t>IF18</t>
  </si>
  <si>
    <t>IF19.1</t>
  </si>
  <si>
    <t>IF19.2</t>
  </si>
  <si>
    <t>IF20</t>
  </si>
  <si>
    <t>IF21</t>
  </si>
  <si>
    <t>IF22</t>
  </si>
  <si>
    <t>IG12</t>
  </si>
  <si>
    <t>IG13.1</t>
  </si>
  <si>
    <t>IG13.2</t>
  </si>
  <si>
    <t>IG14</t>
  </si>
  <si>
    <t>IG19</t>
  </si>
  <si>
    <t>IG21</t>
  </si>
  <si>
    <t>SQ18</t>
  </si>
  <si>
    <t>ZS14</t>
  </si>
  <si>
    <t>ZS15</t>
  </si>
  <si>
    <t>ZS16</t>
  </si>
  <si>
    <t>ZS17</t>
  </si>
  <si>
    <t>IT11</t>
  </si>
  <si>
    <t>IT12</t>
  </si>
  <si>
    <t>IT13</t>
  </si>
  <si>
    <t>IT14</t>
  </si>
  <si>
    <t>IT15</t>
  </si>
  <si>
    <t>IT20</t>
  </si>
  <si>
    <t>IT21</t>
  </si>
  <si>
    <t>IT22</t>
  </si>
  <si>
    <t>MA21</t>
  </si>
  <si>
    <t>MG13</t>
  </si>
  <si>
    <t>MG20</t>
  </si>
  <si>
    <t>MG21</t>
  </si>
  <si>
    <t>ZS19</t>
  </si>
  <si>
    <t>ZS20</t>
  </si>
  <si>
    <t>ZS21</t>
  </si>
  <si>
    <t>ZS22</t>
  </si>
  <si>
    <t>SA18</t>
  </si>
  <si>
    <t>SA19</t>
  </si>
  <si>
    <t>SA20</t>
  </si>
  <si>
    <t>SA21</t>
  </si>
  <si>
    <t>SA22</t>
  </si>
  <si>
    <t>SB18</t>
  </si>
  <si>
    <t>SB19</t>
  </si>
  <si>
    <t>SB20</t>
  </si>
  <si>
    <t>SB21</t>
  </si>
  <si>
    <t>SB22</t>
  </si>
  <si>
    <t>SH18</t>
  </si>
  <si>
    <t>SH19</t>
  </si>
  <si>
    <t>SH20</t>
  </si>
  <si>
    <t>SH21</t>
  </si>
  <si>
    <t>SH22</t>
  </si>
  <si>
    <t>SK18</t>
  </si>
  <si>
    <t>SK19</t>
  </si>
  <si>
    <t>SK20</t>
  </si>
  <si>
    <t>SK21</t>
  </si>
  <si>
    <t>SK22</t>
  </si>
  <si>
    <t>MA17</t>
  </si>
  <si>
    <t>PB08</t>
  </si>
  <si>
    <t>PB11</t>
  </si>
  <si>
    <t>PB12</t>
  </si>
  <si>
    <t>PB13</t>
  </si>
  <si>
    <t>PB14</t>
  </si>
  <si>
    <t>PB16</t>
  </si>
  <si>
    <t>PB18</t>
  </si>
  <si>
    <t>PB19</t>
  </si>
  <si>
    <t>PB20</t>
  </si>
  <si>
    <t>PB21</t>
  </si>
  <si>
    <t>PB22</t>
  </si>
  <si>
    <t>IF13</t>
  </si>
  <si>
    <t>IF05</t>
  </si>
  <si>
    <t>WR17</t>
  </si>
  <si>
    <t>WI17</t>
  </si>
  <si>
    <t>WO22</t>
  </si>
  <si>
    <t>IF10</t>
  </si>
  <si>
    <t>IF08</t>
  </si>
  <si>
    <t>MT09</t>
  </si>
  <si>
    <t>MT08</t>
  </si>
  <si>
    <t>AB10</t>
  </si>
  <si>
    <t>MT11</t>
  </si>
  <si>
    <t>AB04</t>
  </si>
  <si>
    <t>MT20</t>
  </si>
  <si>
    <t>AB11</t>
  </si>
  <si>
    <t>AB17</t>
  </si>
  <si>
    <t>MT21</t>
  </si>
  <si>
    <t>MT22</t>
  </si>
  <si>
    <t>AB06</t>
  </si>
  <si>
    <t>AB18</t>
  </si>
  <si>
    <t>AB15</t>
  </si>
  <si>
    <t>MT04</t>
  </si>
  <si>
    <t>MT18</t>
  </si>
  <si>
    <t>MT06</t>
  </si>
  <si>
    <t>SN07</t>
  </si>
  <si>
    <t>MT19</t>
  </si>
  <si>
    <t>AB12</t>
  </si>
  <si>
    <t>AB21</t>
  </si>
  <si>
    <t>SN08</t>
  </si>
  <si>
    <t>AB22</t>
  </si>
  <si>
    <t>AB13</t>
  </si>
  <si>
    <t>AB20</t>
  </si>
  <si>
    <t>MG10</t>
  </si>
  <si>
    <t>AB14</t>
  </si>
  <si>
    <t>SN06</t>
  </si>
  <si>
    <t>AB19</t>
  </si>
  <si>
    <t>AB16</t>
  </si>
  <si>
    <t>AB05</t>
  </si>
  <si>
    <t>AB07</t>
  </si>
  <si>
    <t>AB01</t>
  </si>
  <si>
    <t>ZB18</t>
  </si>
  <si>
    <t>ZB19</t>
  </si>
  <si>
    <t>ZB20</t>
  </si>
  <si>
    <t>ZB21</t>
  </si>
  <si>
    <t>ZB22</t>
  </si>
  <si>
    <t>ZB01</t>
  </si>
  <si>
    <t>ZB02</t>
  </si>
  <si>
    <t>ZB03</t>
  </si>
  <si>
    <t>ZB04</t>
  </si>
  <si>
    <t>ZB05</t>
  </si>
  <si>
    <t>ZB06</t>
  </si>
  <si>
    <t>ZB07</t>
  </si>
  <si>
    <t>ZB08</t>
  </si>
  <si>
    <t>ZB09</t>
  </si>
  <si>
    <t>ZB10</t>
  </si>
  <si>
    <t>ZB11</t>
  </si>
  <si>
    <t>ZB12</t>
  </si>
  <si>
    <t>ZB13</t>
  </si>
  <si>
    <t>ZB14</t>
  </si>
  <si>
    <t>SH08</t>
  </si>
  <si>
    <t>SH10</t>
  </si>
  <si>
    <t>SH13.1</t>
  </si>
  <si>
    <t>SH13.2</t>
  </si>
  <si>
    <t>SH14.1</t>
  </si>
  <si>
    <t>SH14.2</t>
  </si>
  <si>
    <t>CI02.1</t>
  </si>
  <si>
    <t>CI02.2</t>
  </si>
  <si>
    <t>CI03.1</t>
  </si>
  <si>
    <t>CI03.2</t>
  </si>
  <si>
    <t>CI04.1</t>
  </si>
  <si>
    <t>CI04.2</t>
  </si>
  <si>
    <t>CI05.1</t>
  </si>
  <si>
    <t>CI05.2</t>
  </si>
  <si>
    <t>CN02.1</t>
  </si>
  <si>
    <t>CN02.2</t>
  </si>
  <si>
    <t>CN03.1</t>
  </si>
  <si>
    <t>CN03.2</t>
  </si>
  <si>
    <t>CN04.1</t>
  </si>
  <si>
    <t>CN04.2</t>
  </si>
  <si>
    <t>CN05.1</t>
  </si>
  <si>
    <t>CN05.2</t>
  </si>
  <si>
    <t>KT15.1</t>
  </si>
  <si>
    <t>KT15.2</t>
  </si>
  <si>
    <t>KT17</t>
  </si>
  <si>
    <t>KT18.1</t>
  </si>
  <si>
    <t>KT18.2</t>
  </si>
  <si>
    <t>KT18.3</t>
  </si>
  <si>
    <t>KT19.1</t>
  </si>
  <si>
    <t>KT19.2</t>
  </si>
  <si>
    <t>KT20</t>
  </si>
  <si>
    <t>KT21</t>
  </si>
  <si>
    <t>KT22</t>
  </si>
  <si>
    <t>KI13.3</t>
  </si>
  <si>
    <t>KI15.1</t>
  </si>
  <si>
    <t>KI15.2</t>
  </si>
  <si>
    <t>KI18.1</t>
  </si>
  <si>
    <t>KT13.1</t>
  </si>
  <si>
    <t>KT13.2</t>
  </si>
  <si>
    <t>AD01</t>
  </si>
  <si>
    <t>AD02</t>
  </si>
  <si>
    <t>AD03</t>
  </si>
  <si>
    <t>AD04</t>
  </si>
  <si>
    <t>AD05</t>
  </si>
  <si>
    <t>AD06</t>
  </si>
  <si>
    <t>AD07</t>
  </si>
  <si>
    <t>AD08</t>
  </si>
  <si>
    <t>AD09</t>
  </si>
  <si>
    <t>AD10</t>
  </si>
  <si>
    <t>AD11</t>
  </si>
  <si>
    <t>AD12</t>
  </si>
  <si>
    <t>AD13</t>
  </si>
  <si>
    <t>AD14</t>
  </si>
  <si>
    <t>AD15</t>
  </si>
  <si>
    <t>AD16</t>
  </si>
  <si>
    <t>AD17</t>
  </si>
  <si>
    <t>AD18</t>
  </si>
  <si>
    <t>AD19</t>
  </si>
  <si>
    <t>AD20</t>
  </si>
  <si>
    <t>AD21</t>
  </si>
  <si>
    <t>AD22</t>
  </si>
  <si>
    <t>SA10</t>
  </si>
  <si>
    <t>MA10</t>
  </si>
  <si>
    <t>MA13.1</t>
  </si>
  <si>
    <t>MA13.2</t>
  </si>
  <si>
    <t>MA14</t>
  </si>
  <si>
    <t>MA15</t>
  </si>
  <si>
    <t>FP02.3</t>
  </si>
  <si>
    <t>FP03.3</t>
  </si>
  <si>
    <t>FP02.4</t>
  </si>
  <si>
    <t>FP03.4</t>
  </si>
  <si>
    <t>FP02.5</t>
  </si>
  <si>
    <t>FP03.5</t>
  </si>
  <si>
    <t>FP02.1</t>
  </si>
  <si>
    <t>FP03.1</t>
  </si>
  <si>
    <t>FP02.2</t>
  </si>
  <si>
    <t>FP03.2</t>
  </si>
  <si>
    <t>KT18</t>
  </si>
  <si>
    <t>KT19</t>
  </si>
  <si>
    <t>ZZ17</t>
  </si>
  <si>
    <t>CW02.1</t>
  </si>
  <si>
    <t>CW02.2</t>
  </si>
  <si>
    <t>CW03.1</t>
  </si>
  <si>
    <t>CW03.2</t>
  </si>
  <si>
    <t>CW04.1</t>
  </si>
  <si>
    <t>CW04.2</t>
  </si>
  <si>
    <t>CW05.1</t>
  </si>
  <si>
    <t>CW05.2</t>
  </si>
  <si>
    <t>SI19.1</t>
  </si>
  <si>
    <t>SI13.1</t>
  </si>
  <si>
    <t>SI13.2</t>
  </si>
  <si>
    <t>SI14.1</t>
  </si>
  <si>
    <t>SI14.2</t>
  </si>
  <si>
    <t>SI15.1</t>
  </si>
  <si>
    <t>SI15.2</t>
  </si>
  <si>
    <t>PP21</t>
  </si>
  <si>
    <t>PP22</t>
  </si>
  <si>
    <t>PA08</t>
  </si>
  <si>
    <t>PA09</t>
  </si>
  <si>
    <t>PA10</t>
  </si>
  <si>
    <t>PA12</t>
  </si>
  <si>
    <t>PA13</t>
  </si>
  <si>
    <t>PA17</t>
  </si>
  <si>
    <t>PA18</t>
  </si>
  <si>
    <t>PA19</t>
  </si>
  <si>
    <t>PA20</t>
  </si>
  <si>
    <t>PA21</t>
  </si>
  <si>
    <t>PA22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</si>
  <si>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</si>
  <si>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</si>
  <si>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</si>
  <si>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</si>
  <si>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</si>
  <si>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</si>
  <si>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</si>
  <si>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</si>
  <si>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</si>
  <si>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</si>
  <si>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</si>
  <si>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KI15.3</t>
  </si>
  <si>
    <t>KK09</t>
  </si>
  <si>
    <t>KK10</t>
  </si>
  <si>
    <t>KK11.1</t>
  </si>
  <si>
    <t>KK11.2</t>
  </si>
  <si>
    <t>KK12.1</t>
  </si>
  <si>
    <t>KK12.2</t>
  </si>
  <si>
    <t>KK13.1</t>
  </si>
  <si>
    <t>KK13.2</t>
  </si>
  <si>
    <t>KK14</t>
  </si>
  <si>
    <t>KK15.1</t>
  </si>
  <si>
    <t>KK15.2</t>
  </si>
  <si>
    <t>KK15.3</t>
  </si>
  <si>
    <t>KK18</t>
  </si>
  <si>
    <t>KK19</t>
  </si>
  <si>
    <t>KK19.1</t>
  </si>
  <si>
    <t>KK19.2</t>
  </si>
  <si>
    <t>KK20</t>
  </si>
  <si>
    <t>KK21</t>
  </si>
  <si>
    <t>KK22</t>
  </si>
  <si>
    <t>IA09</t>
  </si>
  <si>
    <t>IA11</t>
  </si>
  <si>
    <t>IA14.1</t>
  </si>
  <si>
    <t>IA14.2</t>
  </si>
  <si>
    <t>IA17</t>
  </si>
  <si>
    <t>JP01</t>
  </si>
  <si>
    <t>JP02</t>
  </si>
  <si>
    <t>JP03</t>
  </si>
  <si>
    <t>JP04</t>
  </si>
  <si>
    <t>JP05</t>
  </si>
  <si>
    <t>JP06</t>
  </si>
  <si>
    <t>JP07</t>
  </si>
  <si>
    <t>JP08</t>
  </si>
  <si>
    <t>JP09</t>
  </si>
  <si>
    <t>JP10</t>
  </si>
  <si>
    <t>JP11</t>
  </si>
  <si>
    <t>JP12</t>
  </si>
  <si>
    <t>JP13</t>
  </si>
  <si>
    <t>JP14</t>
  </si>
  <si>
    <t>JP15</t>
  </si>
  <si>
    <t>JP16</t>
  </si>
  <si>
    <t>JP17</t>
  </si>
  <si>
    <t>JP18</t>
  </si>
  <si>
    <t>JP19</t>
  </si>
  <si>
    <t>JP20</t>
  </si>
  <si>
    <t>JP21</t>
  </si>
  <si>
    <t>JP22</t>
  </si>
  <si>
    <t>JW04</t>
  </si>
  <si>
    <t>JW05</t>
  </si>
  <si>
    <t>JW06</t>
  </si>
  <si>
    <t>JW07</t>
  </si>
  <si>
    <t>MS01.1</t>
  </si>
  <si>
    <t>MS01.2</t>
  </si>
  <si>
    <t>FF01</t>
  </si>
  <si>
    <t>FF02</t>
  </si>
  <si>
    <t>FF03</t>
  </si>
  <si>
    <t>FF04</t>
  </si>
  <si>
    <t>FF05</t>
  </si>
  <si>
    <t>FF06</t>
  </si>
  <si>
    <t>FF07</t>
  </si>
  <si>
    <t>FF08</t>
  </si>
  <si>
    <t>FF09</t>
  </si>
  <si>
    <t>FF10</t>
  </si>
  <si>
    <t>FF11</t>
  </si>
  <si>
    <t>FF12</t>
  </si>
  <si>
    <t>FF13</t>
  </si>
  <si>
    <t>FF14</t>
  </si>
  <si>
    <t>FF15</t>
  </si>
  <si>
    <t>FF16</t>
  </si>
  <si>
    <t>FF17</t>
  </si>
  <si>
    <t>FF18</t>
  </si>
  <si>
    <t>FF19</t>
  </si>
  <si>
    <t>FF20</t>
  </si>
  <si>
    <t>FF21</t>
  </si>
  <si>
    <t>FF22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</si>
  <si>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</si>
  <si>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</si>
  <si>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</si>
  <si>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</si>
  <si>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</si>
  <si>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</si>
  <si>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</si>
  <si>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</si>
  <si>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</si>
  <si>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</si>
  <si>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</si>
  <si>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</si>
  <si>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</si>
  <si>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</si>
  <si>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</si>
  <si>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</si>
  <si>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</si>
  <si>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</si>
  <si>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</si>
  <si>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</si>
  <si>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</si>
  <si>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</si>
  <si>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SQ15.1</t>
  </si>
  <si>
    <t>SQ15.2</t>
  </si>
  <si>
    <t>IA01.1</t>
  </si>
  <si>
    <t>IA01.2</t>
  </si>
  <si>
    <t>IA04</t>
  </si>
  <si>
    <t>ID02</t>
  </si>
  <si>
    <t>IG07</t>
  </si>
  <si>
    <t>IG09</t>
  </si>
  <si>
    <t>KB05</t>
  </si>
  <si>
    <t>MG06</t>
  </si>
  <si>
    <t>MG07</t>
  </si>
  <si>
    <t>MA06</t>
  </si>
  <si>
    <t>MA18</t>
  </si>
  <si>
    <t>PA04</t>
  </si>
  <si>
    <t>PA06</t>
  </si>
  <si>
    <t>MH18</t>
  </si>
  <si>
    <t>KC01</t>
  </si>
  <si>
    <t>KC02</t>
  </si>
  <si>
    <t>KC03</t>
  </si>
  <si>
    <t>KC04</t>
  </si>
  <si>
    <t>KC05</t>
  </si>
  <si>
    <t>KC06</t>
  </si>
  <si>
    <t>KC07</t>
  </si>
  <si>
    <t>KC08</t>
  </si>
  <si>
    <t>KC09.1</t>
  </si>
  <si>
    <t>KC10.1</t>
  </si>
  <si>
    <t>KC12.1</t>
  </si>
  <si>
    <t>KC12.2</t>
  </si>
  <si>
    <t>KC12.3</t>
  </si>
  <si>
    <t>KC13.1</t>
  </si>
  <si>
    <t>KC13.2</t>
  </si>
  <si>
    <t>KC13.3</t>
  </si>
  <si>
    <t>KC14.1</t>
  </si>
  <si>
    <t>KC14.2</t>
  </si>
  <si>
    <t>KC14.3</t>
  </si>
  <si>
    <t>KC15.1</t>
  </si>
  <si>
    <t>KC15.2</t>
  </si>
  <si>
    <t>KC15.3</t>
  </si>
  <si>
    <t>KC16.1</t>
  </si>
  <si>
    <t>KC16.2</t>
  </si>
  <si>
    <t>KC10</t>
  </si>
  <si>
    <t>KC11</t>
  </si>
  <si>
    <t>KC12</t>
  </si>
  <si>
    <t>KC13</t>
  </si>
  <si>
    <t>KC14</t>
  </si>
  <si>
    <t>KC15</t>
  </si>
  <si>
    <t>KC16</t>
  </si>
  <si>
    <t>KC17</t>
  </si>
  <si>
    <t>KC18</t>
  </si>
  <si>
    <t>KC19</t>
  </si>
  <si>
    <t>KC20</t>
  </si>
  <si>
    <t>KC21</t>
  </si>
  <si>
    <t>KC22</t>
  </si>
  <si>
    <t>IY08</t>
  </si>
  <si>
    <t>IY11</t>
  </si>
  <si>
    <t>IY13.1</t>
  </si>
  <si>
    <t>IY13.2</t>
  </si>
  <si>
    <t>IY14.1</t>
  </si>
  <si>
    <t>IY14.2</t>
  </si>
  <si>
    <t>IY17.1</t>
  </si>
  <si>
    <t>IY17.2</t>
  </si>
  <si>
    <t>IY20</t>
  </si>
  <si>
    <t>IY21</t>
  </si>
  <si>
    <t>IY22</t>
  </si>
  <si>
    <t>FW17</t>
  </si>
  <si>
    <t>FW01</t>
  </si>
  <si>
    <t>FW02</t>
  </si>
  <si>
    <t>FW03</t>
  </si>
  <si>
    <t>FW04</t>
  </si>
  <si>
    <t>FW05</t>
  </si>
  <si>
    <t>FW06</t>
  </si>
  <si>
    <t>FW07</t>
  </si>
  <si>
    <t>FW08</t>
  </si>
  <si>
    <t>FW09</t>
  </si>
  <si>
    <t>FW10</t>
  </si>
  <si>
    <t>FW11</t>
  </si>
  <si>
    <t>FW12</t>
  </si>
  <si>
    <t>FW13</t>
  </si>
  <si>
    <t>FW14</t>
  </si>
  <si>
    <t>FW15</t>
  </si>
  <si>
    <t>FW16</t>
  </si>
  <si>
    <t>FW18</t>
  </si>
  <si>
    <t>FW19</t>
  </si>
  <si>
    <t>FW20</t>
  </si>
  <si>
    <t>FW21</t>
  </si>
  <si>
    <t>FW22</t>
  </si>
  <si>
    <t>BW01</t>
  </si>
  <si>
    <t>BW02</t>
  </si>
  <si>
    <t>BW03</t>
  </si>
  <si>
    <t>BW04</t>
  </si>
  <si>
    <t>BW05</t>
  </si>
  <si>
    <t>BW06</t>
  </si>
  <si>
    <t>BW07</t>
  </si>
  <si>
    <t>BW08</t>
  </si>
  <si>
    <t>BW09</t>
  </si>
  <si>
    <t>BW10</t>
  </si>
  <si>
    <t>BW11</t>
  </si>
  <si>
    <t>BW12</t>
  </si>
  <si>
    <t>BW13</t>
  </si>
  <si>
    <t>BW14</t>
  </si>
  <si>
    <t>BW15</t>
  </si>
  <si>
    <t>BW16</t>
  </si>
  <si>
    <t>BW17</t>
  </si>
  <si>
    <t>BW18</t>
  </si>
  <si>
    <t>BW19</t>
  </si>
  <si>
    <t>BW20</t>
  </si>
  <si>
    <t>BW21</t>
  </si>
  <si>
    <t>BW22</t>
  </si>
  <si>
    <t>CW01</t>
  </si>
  <si>
    <t>CW02</t>
  </si>
  <si>
    <t>CW03</t>
  </si>
  <si>
    <t>CW04</t>
  </si>
  <si>
    <t>CW05</t>
  </si>
  <si>
    <t>CW06</t>
  </si>
  <si>
    <t>CW11</t>
  </si>
  <si>
    <t>CW12</t>
  </si>
  <si>
    <t>JW08</t>
  </si>
  <si>
    <t>JW09</t>
  </si>
  <si>
    <t>JW10</t>
  </si>
  <si>
    <t>JW11</t>
  </si>
  <si>
    <t>JW12</t>
  </si>
  <si>
    <t>JW13</t>
  </si>
  <si>
    <t>JW14</t>
  </si>
  <si>
    <t>JW15</t>
  </si>
  <si>
    <t>JW16</t>
  </si>
  <si>
    <t>JW17</t>
  </si>
  <si>
    <t>JW18</t>
  </si>
  <si>
    <t>JW19</t>
  </si>
  <si>
    <t>JW20</t>
  </si>
  <si>
    <t>JW21</t>
  </si>
  <si>
    <t>JW22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</si>
  <si>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</si>
  <si>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</si>
  <si>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</si>
  <si>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</si>
  <si>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</si>
  <si>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</si>
  <si>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</si>
  <si>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</si>
  <si>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</si>
  <si>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</si>
  <si>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</si>
  <si>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</si>
  <si>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</si>
  <si>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</si>
  <si>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</si>
  <si>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</si>
  <si>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</si>
  <si>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GW01</t>
  </si>
  <si>
    <t>GW02</t>
  </si>
  <si>
    <t>GW03</t>
  </si>
  <si>
    <t>GW04</t>
  </si>
  <si>
    <t>GW05</t>
  </si>
  <si>
    <t>GW06</t>
  </si>
  <si>
    <t>GW07</t>
  </si>
  <si>
    <t>GW08</t>
  </si>
  <si>
    <t>GW09</t>
  </si>
  <si>
    <t>GW10</t>
  </si>
  <si>
    <t>GW11</t>
  </si>
  <si>
    <t>GW12</t>
  </si>
  <si>
    <t>GW13</t>
  </si>
  <si>
    <t>GW14</t>
  </si>
  <si>
    <t>GW15</t>
  </si>
  <si>
    <t>GW16</t>
  </si>
  <si>
    <t>GW17</t>
  </si>
  <si>
    <t>GW18</t>
  </si>
  <si>
    <t>GW19</t>
  </si>
  <si>
    <t>GW20</t>
  </si>
  <si>
    <t>GW21</t>
  </si>
  <si>
    <t>GW22</t>
  </si>
  <si>
    <t>RW01</t>
  </si>
  <si>
    <t>RW02</t>
  </si>
  <si>
    <t>RW03</t>
  </si>
  <si>
    <t>RW04</t>
  </si>
  <si>
    <t>RW05</t>
  </si>
  <si>
    <t>RW06</t>
  </si>
  <si>
    <t>RW07</t>
  </si>
  <si>
    <t>RW08</t>
  </si>
  <si>
    <t>RW09</t>
  </si>
  <si>
    <t>RW10</t>
  </si>
  <si>
    <t>RW11</t>
  </si>
  <si>
    <t>RW12</t>
  </si>
  <si>
    <t>RW13</t>
  </si>
  <si>
    <t>RW14</t>
  </si>
  <si>
    <t>RW15</t>
  </si>
  <si>
    <t>RW16</t>
  </si>
  <si>
    <t>RW17</t>
  </si>
  <si>
    <t>RW18</t>
  </si>
  <si>
    <t>RW19</t>
  </si>
  <si>
    <t>RW20</t>
  </si>
  <si>
    <t>RW21</t>
  </si>
  <si>
    <t>RW22</t>
  </si>
  <si>
    <t>NW01</t>
  </si>
  <si>
    <t>NW02</t>
  </si>
  <si>
    <t>NW03</t>
  </si>
  <si>
    <t>NW04</t>
  </si>
  <si>
    <t>NW05</t>
  </si>
  <si>
    <t>NW06</t>
  </si>
  <si>
    <t>NW07</t>
  </si>
  <si>
    <t>NW08</t>
  </si>
  <si>
    <t>NW09</t>
  </si>
  <si>
    <t>NW10</t>
  </si>
  <si>
    <t>NW11</t>
  </si>
  <si>
    <t>NW12</t>
  </si>
  <si>
    <t>NW13</t>
  </si>
  <si>
    <t>NW14</t>
  </si>
  <si>
    <t>NW15</t>
  </si>
  <si>
    <t>NW16</t>
  </si>
  <si>
    <t>NW17</t>
  </si>
  <si>
    <t>NW18</t>
  </si>
  <si>
    <t>NW19</t>
  </si>
  <si>
    <t>NW20</t>
  </si>
  <si>
    <t>NW21</t>
  </si>
  <si>
    <t>NW22</t>
  </si>
  <si>
    <t>PW17</t>
  </si>
  <si>
    <t>PW08</t>
  </si>
  <si>
    <t>PW09</t>
  </si>
  <si>
    <t>PW10</t>
  </si>
  <si>
    <t>PW11</t>
  </si>
  <si>
    <t>PW12</t>
  </si>
  <si>
    <t>PW07</t>
  </si>
  <si>
    <t>PW15</t>
  </si>
  <si>
    <t>PW14</t>
  </si>
  <si>
    <t>PW18</t>
  </si>
  <si>
    <t>PW19</t>
  </si>
  <si>
    <t>PW20</t>
  </si>
  <si>
    <t>PW21</t>
  </si>
  <si>
    <t>PW22</t>
  </si>
  <si>
    <t>PW13</t>
  </si>
  <si>
    <t>PW16</t>
  </si>
  <si>
    <t>VW01</t>
  </si>
  <si>
    <t>VW02</t>
  </si>
  <si>
    <t>VW03</t>
  </si>
  <si>
    <t>VW04</t>
  </si>
  <si>
    <t>VW05</t>
  </si>
  <si>
    <t>VW06</t>
  </si>
  <si>
    <t>VW07</t>
  </si>
  <si>
    <t>VW08</t>
  </si>
  <si>
    <t>VW09</t>
  </si>
  <si>
    <t>VW10</t>
  </si>
  <si>
    <t>VW11</t>
  </si>
  <si>
    <t>VW12</t>
  </si>
  <si>
    <t>VW13</t>
  </si>
  <si>
    <t>VW14</t>
  </si>
  <si>
    <t>VW15</t>
  </si>
  <si>
    <t>VW16</t>
  </si>
  <si>
    <t>VW17</t>
  </si>
  <si>
    <t>VW18</t>
  </si>
  <si>
    <t>VW19</t>
  </si>
  <si>
    <t>VW20</t>
  </si>
  <si>
    <t>VW21</t>
  </si>
  <si>
    <t>VW22</t>
  </si>
  <si>
    <t>CT01</t>
  </si>
  <si>
    <t>CT02</t>
  </si>
  <si>
    <t>CT03</t>
  </si>
  <si>
    <t>CT04</t>
  </si>
  <si>
    <t>CT05</t>
  </si>
  <si>
    <t>CT06</t>
  </si>
  <si>
    <t>CT07</t>
  </si>
  <si>
    <t>IG11</t>
  </si>
  <si>
    <t>IG16</t>
  </si>
  <si>
    <t>IG20</t>
  </si>
  <si>
    <t>IG22</t>
  </si>
  <si>
    <t>ID09</t>
  </si>
  <si>
    <t>ID12</t>
  </si>
  <si>
    <t>ID20</t>
  </si>
  <si>
    <t>ID22</t>
  </si>
  <si>
    <t>IA08</t>
  </si>
  <si>
    <t>IA15</t>
  </si>
  <si>
    <t>IA20</t>
  </si>
  <si>
    <t>IA22</t>
  </si>
  <si>
    <t>CD17</t>
  </si>
  <si>
    <t>CD01</t>
  </si>
  <si>
    <t>CD02</t>
  </si>
  <si>
    <t>CD03</t>
  </si>
  <si>
    <t>CD04</t>
  </si>
  <si>
    <t>CD05</t>
  </si>
  <si>
    <t>CD06</t>
  </si>
  <si>
    <t>CD07</t>
  </si>
  <si>
    <t>CD08</t>
  </si>
  <si>
    <t>CD09</t>
  </si>
  <si>
    <t>CD10</t>
  </si>
  <si>
    <t>CD11</t>
  </si>
  <si>
    <t>CD12</t>
  </si>
  <si>
    <t>CD13</t>
  </si>
  <si>
    <t>CD14</t>
  </si>
  <si>
    <t>CD15</t>
  </si>
  <si>
    <t>CD16</t>
  </si>
  <si>
    <t>CD18</t>
  </si>
  <si>
    <t>CD19</t>
  </si>
  <si>
    <t>CD20</t>
  </si>
  <si>
    <t>CD21</t>
  </si>
  <si>
    <t>CD22</t>
  </si>
  <si>
    <t>FM10</t>
  </si>
  <si>
    <t>FM11</t>
  </si>
  <si>
    <t>FM12</t>
  </si>
  <si>
    <t>FM13</t>
  </si>
  <si>
    <t>FM14</t>
  </si>
  <si>
    <t>FM15</t>
  </si>
  <si>
    <t>FM16</t>
  </si>
  <si>
    <t>FM17</t>
  </si>
  <si>
    <t>FM18</t>
  </si>
  <si>
    <t>FM19</t>
  </si>
  <si>
    <t>FM20</t>
  </si>
  <si>
    <t>FM21</t>
  </si>
  <si>
    <t>FM22</t>
  </si>
  <si>
    <t>FM03</t>
  </si>
  <si>
    <t>FM04</t>
  </si>
  <si>
    <t>FM05</t>
  </si>
  <si>
    <t>FM06</t>
  </si>
  <si>
    <t>FM07</t>
  </si>
  <si>
    <t>FM08</t>
  </si>
  <si>
    <t>FM09</t>
  </si>
  <si>
    <t>FM01</t>
  </si>
  <si>
    <t>FM02</t>
  </si>
  <si>
    <t>ZB15</t>
  </si>
  <si>
    <t>ZB16</t>
  </si>
  <si>
    <t>ZB17</t>
  </si>
  <si>
    <t>KR22</t>
  </si>
  <si>
    <t>KR03</t>
  </si>
  <si>
    <t>KR04</t>
  </si>
  <si>
    <t>KR05</t>
  </si>
  <si>
    <t>KR06</t>
  </si>
  <si>
    <t>KR07</t>
  </si>
  <si>
    <t>KR08</t>
  </si>
  <si>
    <t>KR09</t>
  </si>
  <si>
    <t>KR10</t>
  </si>
  <si>
    <t>KR11</t>
  </si>
  <si>
    <t>KR12</t>
  </si>
  <si>
    <t>KR13</t>
  </si>
  <si>
    <t>KR14.1</t>
  </si>
  <si>
    <t>KR14.2</t>
  </si>
  <si>
    <t>KR15</t>
  </si>
  <si>
    <t>KR16</t>
  </si>
  <si>
    <t>KR17</t>
  </si>
  <si>
    <t>KR18</t>
  </si>
  <si>
    <t>KR19</t>
  </si>
  <si>
    <t>KR20</t>
  </si>
  <si>
    <t>KR21</t>
  </si>
  <si>
    <t>KR02</t>
  </si>
  <si>
    <t>KC16.3</t>
  </si>
  <si>
    <t>KC17.1</t>
  </si>
  <si>
    <t>KC17.2</t>
  </si>
  <si>
    <t>KC18.1</t>
  </si>
  <si>
    <t>KI09.1</t>
  </si>
  <si>
    <t>KI12.3</t>
  </si>
  <si>
    <t>KI14.3</t>
  </si>
  <si>
    <t>KI16.3</t>
  </si>
  <si>
    <t>KI17.1</t>
  </si>
  <si>
    <t>KI17.2</t>
  </si>
  <si>
    <t>KW04</t>
  </si>
  <si>
    <t>KW05</t>
  </si>
  <si>
    <t>KH12</t>
  </si>
  <si>
    <t>KH15.1</t>
  </si>
  <si>
    <t>KH15.2</t>
  </si>
  <si>
    <t>IF16.1</t>
  </si>
  <si>
    <t>IF16.2</t>
  </si>
  <si>
    <t>IY01</t>
  </si>
  <si>
    <t>IY02</t>
  </si>
  <si>
    <t>IY04</t>
  </si>
  <si>
    <t>IY12</t>
  </si>
  <si>
    <t>IY15</t>
  </si>
  <si>
    <t>IY19</t>
  </si>
  <si>
    <t>PB06</t>
  </si>
  <si>
    <t>PI01</t>
  </si>
  <si>
    <t>PI02</t>
  </si>
  <si>
    <t>PI03</t>
  </si>
  <si>
    <t>PI04</t>
  </si>
  <si>
    <t>PI05</t>
  </si>
  <si>
    <t>PI06</t>
  </si>
  <si>
    <t>PW01</t>
  </si>
  <si>
    <t>PW02</t>
  </si>
  <si>
    <t>PW03</t>
  </si>
  <si>
    <t>PW04</t>
  </si>
  <si>
    <t>PW05</t>
  </si>
  <si>
    <t>PW06</t>
  </si>
  <si>
    <t>KJ11.1</t>
  </si>
  <si>
    <t>KJ11.2</t>
  </si>
  <si>
    <t>KJ12.1</t>
  </si>
  <si>
    <t>KJ13.1</t>
  </si>
  <si>
    <t>KJ13.2</t>
  </si>
  <si>
    <t>KJ15.1</t>
  </si>
  <si>
    <t>KJ15.2</t>
  </si>
  <si>
    <t>KJ16.1</t>
  </si>
  <si>
    <t>KJ16.2</t>
  </si>
  <si>
    <t>KJ18.1</t>
  </si>
  <si>
    <t>PA14.1</t>
  </si>
  <si>
    <t>PA16.2</t>
  </si>
  <si>
    <t>PA14.2</t>
  </si>
  <si>
    <t>PA16.1</t>
  </si>
  <si>
    <t>KJ09.1</t>
  </si>
  <si>
    <t>MA03</t>
  </si>
  <si>
    <t>MA04</t>
  </si>
  <si>
    <t>MA16.1</t>
  </si>
  <si>
    <t>MA16.2</t>
  </si>
  <si>
    <t>MH16</t>
  </si>
  <si>
    <t>IA16.1</t>
  </si>
  <si>
    <t>IA16.2</t>
  </si>
  <si>
    <t>ID11.1</t>
  </si>
  <si>
    <t>ID11.2</t>
  </si>
  <si>
    <t>ID14.1</t>
  </si>
  <si>
    <t>ID14.2</t>
  </si>
  <si>
    <t>PA11.1</t>
  </si>
  <si>
    <t>PA11.2</t>
  </si>
  <si>
    <t>PA15.1</t>
  </si>
  <si>
    <t>PA15.2</t>
  </si>
  <si>
    <t>PN01</t>
  </si>
  <si>
    <t>PN02</t>
  </si>
  <si>
    <t>PN03</t>
  </si>
  <si>
    <t>PN04</t>
  </si>
  <si>
    <t>PN05</t>
  </si>
  <si>
    <t>PN06</t>
  </si>
  <si>
    <t>SN01</t>
  </si>
  <si>
    <t>SN02</t>
  </si>
  <si>
    <t>SN03</t>
  </si>
  <si>
    <t>SN04</t>
  </si>
  <si>
    <t>IY10</t>
  </si>
  <si>
    <t>IY16.1</t>
  </si>
  <si>
    <t>IY16.2</t>
  </si>
  <si>
    <t>KT14.1</t>
  </si>
  <si>
    <t>KT14.2</t>
  </si>
  <si>
    <t>KT14.3</t>
  </si>
  <si>
    <t>KT16.1</t>
  </si>
  <si>
    <t>KT16.2</t>
  </si>
  <si>
    <t>KJ17.1</t>
  </si>
  <si>
    <t>KJ08.1</t>
  </si>
  <si>
    <t>KJ10.1</t>
  </si>
  <si>
    <t>KJ14.1</t>
  </si>
  <si>
    <t>KC10.2</t>
  </si>
  <si>
    <t>KC10.3</t>
  </si>
  <si>
    <t>KC15.4</t>
  </si>
  <si>
    <t>KC17.3</t>
  </si>
  <si>
    <t>KC04.1</t>
  </si>
  <si>
    <t>KC08.1</t>
  </si>
  <si>
    <t>KI04.1</t>
  </si>
  <si>
    <t>KI08.1</t>
  </si>
  <si>
    <t>KI10.3</t>
  </si>
  <si>
    <t>KI15.4</t>
  </si>
  <si>
    <t>KI17.3</t>
  </si>
  <si>
    <t>SQ14.1</t>
  </si>
  <si>
    <t>SQ14.2</t>
  </si>
  <si>
    <t>KP01.1</t>
  </si>
  <si>
    <t>KP22</t>
  </si>
  <si>
    <t>KP07.1</t>
  </si>
  <si>
    <t>KP07.2</t>
  </si>
  <si>
    <t>KP09.1</t>
  </si>
  <si>
    <t>KP12.1</t>
  </si>
  <si>
    <t>KP14.1</t>
  </si>
  <si>
    <t>KP15.1</t>
  </si>
  <si>
    <t>KP15.2</t>
  </si>
  <si>
    <t>KP17.1</t>
  </si>
  <si>
    <t>KP18.2</t>
  </si>
  <si>
    <t>KP19.2</t>
  </si>
  <si>
    <t>KP20</t>
  </si>
  <si>
    <t>KP21</t>
  </si>
  <si>
    <t>KP02.1</t>
  </si>
  <si>
    <t>MG03</t>
  </si>
  <si>
    <t>MG19.1</t>
  </si>
  <si>
    <t>MG19.2</t>
  </si>
  <si>
    <t>MH07</t>
  </si>
  <si>
    <t>MH22</t>
  </si>
  <si>
    <t>MH12.3</t>
  </si>
  <si>
    <t>MH13.1</t>
  </si>
  <si>
    <t>MH13.2</t>
  </si>
  <si>
    <t>KP11.1</t>
  </si>
  <si>
    <t>KP12.2</t>
  </si>
  <si>
    <t>KP13.2</t>
  </si>
  <si>
    <t>KP13.3</t>
  </si>
  <si>
    <t>KP15.3</t>
  </si>
  <si>
    <t>KP17.3</t>
  </si>
  <si>
    <t>IT08</t>
  </si>
  <si>
    <t>IT09</t>
  </si>
  <si>
    <t>IT10</t>
  </si>
  <si>
    <t>IT17</t>
  </si>
  <si>
    <t>KR01</t>
  </si>
  <si>
    <t>INPUT</t>
  </si>
  <si>
    <t>OUTPUT</t>
  </si>
  <si>
    <t>Standalone</t>
  </si>
  <si>
    <t>Rating_0</t>
  </si>
  <si>
    <t>Rating_1</t>
  </si>
  <si>
    <t>Rating_10</t>
  </si>
  <si>
    <t>Rating_11</t>
  </si>
  <si>
    <t>Rating_12</t>
  </si>
  <si>
    <t>Rating_13</t>
  </si>
  <si>
    <t>Rating_14</t>
  </si>
  <si>
    <t>Rating_15</t>
  </si>
  <si>
    <t>Rating_16</t>
  </si>
  <si>
    <t>Rating_17</t>
  </si>
  <si>
    <t>Rating_18</t>
  </si>
  <si>
    <t>Rating_19</t>
  </si>
  <si>
    <t>Rating_2</t>
  </si>
  <si>
    <t>Rating_20</t>
  </si>
  <si>
    <t>Rating_21</t>
  </si>
  <si>
    <t>Rating_22</t>
  </si>
  <si>
    <t>Rating_3</t>
  </si>
  <si>
    <t>Rating_4</t>
  </si>
  <si>
    <t>Rating_5</t>
  </si>
  <si>
    <t>Rating_6</t>
  </si>
  <si>
    <t>Rating_7</t>
  </si>
  <si>
    <t>Rating_8</t>
  </si>
  <si>
    <t>Rating_9</t>
  </si>
  <si>
    <t>Hazard Rate</t>
  </si>
  <si>
    <t>ING Rating</t>
  </si>
  <si>
    <t>Hazard CP</t>
  </si>
  <si>
    <t>Hazard ING</t>
  </si>
  <si>
    <t xml:space="preserve"> </t>
  </si>
  <si>
    <t>No</t>
  </si>
  <si>
    <t>CVA Capital at T=0</t>
  </si>
  <si>
    <t>Default Capital at T=0</t>
  </si>
  <si>
    <t>CVA Capital Cost</t>
  </si>
  <si>
    <t>SProba CP</t>
  </si>
  <si>
    <t>SProba ING</t>
  </si>
  <si>
    <t>FTP Rescaling</t>
  </si>
  <si>
    <t>DF FTP</t>
  </si>
  <si>
    <t>ZC FTP</t>
  </si>
  <si>
    <t>Maturity Correction</t>
  </si>
  <si>
    <t>Correct Rating</t>
  </si>
  <si>
    <t>20 ignored as in RaceING</t>
  </si>
  <si>
    <t>22 ignored as in RaceING</t>
  </si>
  <si>
    <t>21 ignored as in RaceING</t>
  </si>
  <si>
    <t>DProba CP</t>
  </si>
  <si>
    <t>DProba ING</t>
  </si>
  <si>
    <t>CvaK Diversification Ratio</t>
  </si>
  <si>
    <t>Product type</t>
  </si>
  <si>
    <t>Default Capital</t>
  </si>
  <si>
    <t>CVA Capital</t>
  </si>
  <si>
    <t>FVA</t>
  </si>
  <si>
    <t>Is WWR product?</t>
  </si>
  <si>
    <t>Annual Sale in mio</t>
  </si>
  <si>
    <t>Early CreditRisk Termination Date</t>
  </si>
  <si>
    <t>CVA RWA at T=0</t>
  </si>
  <si>
    <t>Default RWA at T=0</t>
  </si>
  <si>
    <r>
      <t xml:space="preserve">Results in </t>
    </r>
    <r>
      <rPr>
        <b/>
        <sz val="11"/>
        <color theme="1"/>
        <rFont val="Times New Roman"/>
        <family val="1"/>
      </rPr>
      <t>CCY</t>
    </r>
  </si>
  <si>
    <t>Currency</t>
  </si>
  <si>
    <t>FX CCYEUR</t>
  </si>
  <si>
    <t>Fx</t>
  </si>
  <si>
    <t>RO</t>
  </si>
  <si>
    <t>ADP</t>
  </si>
  <si>
    <t>AED</t>
  </si>
  <si>
    <t>AFA</t>
  </si>
  <si>
    <t>AFN</t>
  </si>
  <si>
    <t>AMD</t>
  </si>
  <si>
    <t>ANG</t>
  </si>
  <si>
    <t>AOA</t>
  </si>
  <si>
    <t>AON</t>
  </si>
  <si>
    <t>ARS</t>
  </si>
  <si>
    <t>ATS</t>
  </si>
  <si>
    <t>AUD</t>
  </si>
  <si>
    <t>AWG</t>
  </si>
  <si>
    <t>AZM</t>
  </si>
  <si>
    <t>BAM</t>
  </si>
  <si>
    <t>BBD</t>
  </si>
  <si>
    <t>BDT</t>
  </si>
  <si>
    <t>BEF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</si>
  <si>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</si>
  <si>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</si>
  <si>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</si>
  <si>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</si>
  <si>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</si>
  <si>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</si>
  <si>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</si>
  <si>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</si>
  <si>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</si>
  <si>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</si>
  <si>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BYR</t>
  </si>
  <si>
    <t>BZD</t>
  </si>
  <si>
    <t>CAD</t>
  </si>
  <si>
    <t>CDF</t>
  </si>
  <si>
    <t>CHF</t>
  </si>
  <si>
    <t>CLF</t>
  </si>
  <si>
    <t>CLP</t>
  </si>
  <si>
    <t>CNH</t>
  </si>
  <si>
    <t>CNY</t>
  </si>
  <si>
    <t>COP</t>
  </si>
  <si>
    <t>CRC</t>
  </si>
  <si>
    <t>CVE</t>
  </si>
  <si>
    <t>CYP</t>
  </si>
  <si>
    <t>CZK</t>
  </si>
  <si>
    <t>DEM</t>
  </si>
  <si>
    <t>DJF</t>
  </si>
  <si>
    <t>DKK</t>
  </si>
  <si>
    <t>DOP</t>
  </si>
  <si>
    <t>DZD</t>
  </si>
  <si>
    <t>ECS</t>
  </si>
  <si>
    <t>EEK</t>
  </si>
  <si>
    <t>EGP</t>
  </si>
  <si>
    <t>ERN</t>
  </si>
  <si>
    <t>ESP</t>
  </si>
  <si>
    <t>ETB</t>
  </si>
  <si>
    <t>FIM</t>
  </si>
  <si>
    <t>FJD</t>
  </si>
  <si>
    <t>FKP</t>
  </si>
  <si>
    <t>FRF</t>
  </si>
  <si>
    <t>GBP</t>
  </si>
  <si>
    <t>GEL</t>
  </si>
  <si>
    <t>GHS</t>
  </si>
  <si>
    <t>GIP</t>
  </si>
  <si>
    <t>GMD</t>
  </si>
  <si>
    <t>GNF</t>
  </si>
  <si>
    <t>GRD</t>
  </si>
  <si>
    <t>GTQ</t>
  </si>
  <si>
    <t>GYD</t>
  </si>
  <si>
    <t>HKD</t>
  </si>
  <si>
    <t>HNL</t>
  </si>
  <si>
    <t>HRK</t>
  </si>
  <si>
    <t>HTG</t>
  </si>
  <si>
    <t>HUF</t>
  </si>
  <si>
    <t>IDR</t>
  </si>
  <si>
    <t>IEP</t>
  </si>
  <si>
    <t>ILS</t>
  </si>
  <si>
    <t>INR</t>
  </si>
  <si>
    <t>IQD</t>
  </si>
  <si>
    <t>IRR</t>
  </si>
  <si>
    <t>ISK</t>
  </si>
  <si>
    <t>ITL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</si>
  <si>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</si>
  <si>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</si>
  <si>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</si>
  <si>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</si>
  <si>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</si>
  <si>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</si>
  <si>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</si>
  <si>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</si>
  <si>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</si>
  <si>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</si>
  <si>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</si>
  <si>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</si>
  <si>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</si>
  <si>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</si>
  <si>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</si>
  <si>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</si>
  <si>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</si>
  <si>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</si>
  <si>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LUF</t>
  </si>
  <si>
    <t>LVL</t>
  </si>
  <si>
    <t>LYD</t>
  </si>
  <si>
    <t>MAD</t>
  </si>
  <si>
    <t>MDL</t>
  </si>
  <si>
    <t>MGA</t>
  </si>
  <si>
    <t>MGF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</si>
  <si>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</si>
  <si>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</si>
  <si>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</si>
  <si>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</si>
  <si>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</si>
  <si>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</si>
  <si>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</si>
  <si>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</si>
  <si>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</si>
  <si>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</si>
  <si>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MXV</t>
  </si>
  <si>
    <t>MYR</t>
  </si>
  <si>
    <t>MZM</t>
  </si>
  <si>
    <t>NAD</t>
  </si>
  <si>
    <t>NGN</t>
  </si>
  <si>
    <t>NIO</t>
  </si>
  <si>
    <t>NLG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</si>
  <si>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</si>
  <si>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</si>
  <si>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</si>
  <si>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</si>
  <si>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</si>
  <si>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</si>
  <si>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</si>
  <si>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</si>
  <si>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</si>
  <si>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</si>
  <si>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PTE</t>
  </si>
  <si>
    <t>PYG</t>
  </si>
  <si>
    <t>QAR</t>
  </si>
  <si>
    <t>ROL</t>
  </si>
  <si>
    <t>RON</t>
  </si>
  <si>
    <t>RSD</t>
  </si>
  <si>
    <t>RUB</t>
  </si>
  <si>
    <t>RUR</t>
  </si>
  <si>
    <t>RWF</t>
  </si>
  <si>
    <t>SAR</t>
  </si>
  <si>
    <t>SBD</t>
  </si>
  <si>
    <t>SCR</t>
  </si>
  <si>
    <t>SDG</t>
  </si>
  <si>
    <t>SDP</t>
  </si>
  <si>
    <t>SEK</t>
  </si>
  <si>
    <t>SGD</t>
  </si>
  <si>
    <t>SHP</t>
  </si>
  <si>
    <t>SIT</t>
  </si>
  <si>
    <t>SKK</t>
  </si>
  <si>
    <t>SLL</t>
  </si>
  <si>
    <t>SOS</t>
  </si>
  <si>
    <t>SRD</t>
  </si>
  <si>
    <t>SRG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</si>
  <si>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</si>
  <si>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</si>
  <si>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</si>
  <si>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</si>
  <si>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</si>
  <si>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</si>
  <si>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</si>
  <si>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</si>
  <si>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</si>
  <si>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TRL</t>
  </si>
  <si>
    <t>TRY</t>
  </si>
  <si>
    <t>TTD</t>
  </si>
  <si>
    <t>TWD</t>
  </si>
  <si>
    <t>TZS</t>
  </si>
  <si>
    <t>UAH</t>
  </si>
  <si>
    <t>UDI</t>
  </si>
  <si>
    <t>UGX</t>
  </si>
  <si>
    <t>USD</t>
  </si>
  <si>
    <t>UYU</t>
  </si>
  <si>
    <t>UZS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</si>
  <si>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</si>
  <si>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</si>
  <si>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</si>
  <si>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</si>
  <si>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</si>
  <si>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</si>
  <si>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</si>
  <si>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</si>
  <si>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</si>
  <si>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XEU</t>
  </si>
  <si>
    <t>XOF</t>
  </si>
  <si>
    <t>XPD</t>
  </si>
  <si>
    <t>XPF</t>
  </si>
  <si>
    <t>XPT</t>
  </si>
  <si>
    <t>YER</t>
  </si>
  <si>
    <t>YUM</t>
  </si>
  <si>
    <t>ZAR</t>
  </si>
  <si>
    <t>ZMK</t>
  </si>
  <si>
    <t>ZWD</t>
  </si>
  <si>
    <t>Main Calculation Details (all in EUR)</t>
  </si>
  <si>
    <t>Profiles CCY</t>
  </si>
  <si>
    <t>AsOf</t>
  </si>
  <si>
    <t>Area that will be copied to Clipboard…</t>
  </si>
  <si>
    <t>CCY of the trade</t>
  </si>
  <si>
    <t>Disc EPE</t>
  </si>
  <si>
    <t>Disc ENE</t>
  </si>
  <si>
    <t>MtM in CCY</t>
  </si>
  <si>
    <t>Is RWR product?</t>
  </si>
  <si>
    <t>Securities Reval Frequency</t>
  </si>
  <si>
    <t>Daily</t>
  </si>
  <si>
    <t>Monthly</t>
  </si>
  <si>
    <t>Quarterly</t>
  </si>
  <si>
    <t>Semiannual</t>
  </si>
  <si>
    <t>Annual</t>
  </si>
  <si>
    <t>Securities Haircut</t>
  </si>
  <si>
    <t>Country Description</t>
  </si>
  <si>
    <t>H Factor Description</t>
  </si>
  <si>
    <t>Afghanistan</t>
  </si>
  <si>
    <t>GROUPE</t>
  </si>
  <si>
    <t>Albania</t>
  </si>
  <si>
    <t>GROUPC</t>
  </si>
  <si>
    <t>Algeria</t>
  </si>
  <si>
    <t>GROUPD</t>
  </si>
  <si>
    <t>American Samoa</t>
  </si>
  <si>
    <t>GROUPB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</si>
  <si>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</si>
  <si>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</si>
  <si>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</si>
  <si>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</si>
  <si>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</si>
  <si>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</si>
  <si>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</si>
  <si>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</si>
  <si>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</si>
  <si>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GROUPA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</si>
  <si>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</si>
  <si>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</si>
  <si>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</si>
  <si>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</si>
  <si>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</si>
  <si>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</si>
  <si>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</si>
  <si>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</si>
  <si>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</si>
  <si>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</si>
  <si>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</si>
  <si>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</si>
  <si>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</si>
  <si>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</si>
  <si>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</si>
  <si>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</si>
  <si>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</si>
  <si>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</si>
  <si>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</si>
  <si>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</si>
  <si>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</si>
  <si>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</si>
  <si>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</si>
  <si>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</si>
  <si>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</si>
  <si>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</si>
  <si>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</si>
  <si>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</si>
  <si>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</si>
  <si>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</si>
  <si>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</si>
  <si>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</si>
  <si>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</si>
  <si>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</si>
  <si>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</si>
  <si>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</si>
  <si>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</si>
  <si>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</si>
  <si>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</si>
  <si>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</si>
  <si>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</si>
  <si>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</si>
  <si>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</si>
  <si>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</si>
  <si>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</si>
  <si>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</si>
  <si>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</si>
  <si>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</si>
  <si>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</si>
  <si>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</si>
  <si>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</si>
  <si>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</si>
  <si>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</si>
  <si>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</si>
  <si>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</si>
  <si>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</si>
  <si>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</si>
  <si>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</si>
  <si>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</si>
  <si>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</si>
  <si>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</si>
  <si>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</si>
  <si>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</si>
  <si>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</si>
  <si>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</si>
  <si>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</si>
  <si>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</si>
  <si>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</si>
  <si>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</si>
  <si>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</si>
  <si>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</si>
  <si>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</si>
  <si>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</si>
  <si>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</si>
  <si>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</si>
  <si>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</si>
  <si>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</si>
  <si>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</si>
  <si>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</si>
  <si>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</si>
  <si>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</si>
  <si>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</si>
  <si>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</si>
  <si>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</si>
  <si>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</si>
  <si>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</si>
  <si>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</si>
  <si>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</si>
  <si>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</si>
  <si>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</si>
  <si>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</si>
  <si>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</si>
  <si>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</si>
  <si>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</si>
  <si>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</si>
  <si>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</si>
  <si>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</si>
  <si>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</si>
  <si>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</si>
  <si>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</si>
  <si>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</si>
  <si>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</si>
  <si>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</si>
  <si>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</si>
  <si>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</si>
  <si>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</si>
  <si>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</si>
  <si>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</si>
  <si>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</si>
  <si>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</si>
  <si>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</si>
  <si>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</si>
  <si>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</si>
  <si>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</si>
  <si>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</si>
  <si>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</si>
  <si>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</si>
  <si>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</si>
  <si>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</si>
  <si>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</si>
  <si>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</si>
  <si>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</si>
  <si>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</si>
  <si>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</si>
  <si>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</si>
  <si>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</si>
  <si>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</si>
  <si>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</si>
  <si>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</si>
  <si>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</si>
  <si>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</si>
  <si>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</si>
  <si>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</si>
  <si>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</si>
  <si>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</si>
  <si>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</si>
  <si>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</si>
  <si>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</si>
  <si>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</si>
  <si>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</si>
  <si>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</si>
  <si>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</si>
  <si>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</si>
  <si>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</si>
  <si>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</si>
  <si>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</si>
  <si>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</si>
  <si>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</si>
  <si>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</si>
  <si>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</si>
  <si>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</si>
  <si>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</si>
  <si>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Not Recognized - Developed</t>
  </si>
  <si>
    <t>Not Recognized - Emerging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</si>
  <si>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</si>
  <si>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</si>
  <si>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</si>
  <si>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</si>
  <si>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</si>
  <si>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</si>
  <si>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</si>
  <si>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</si>
  <si>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</si>
  <si>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</si>
  <si>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</si>
  <si>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</si>
  <si>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</si>
  <si>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</si>
  <si>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</si>
  <si>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</si>
  <si>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</si>
  <si>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</si>
  <si>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</si>
  <si>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</si>
  <si>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</si>
  <si>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</si>
  <si>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</si>
  <si>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</si>
  <si>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</si>
  <si>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</si>
  <si>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</si>
  <si>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</si>
  <si>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</si>
  <si>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</si>
  <si>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</si>
  <si>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</si>
  <si>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</si>
  <si>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</si>
  <si>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</si>
  <si>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</si>
  <si>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</si>
  <si>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</si>
  <si>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</si>
  <si>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</si>
  <si>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</si>
  <si>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</si>
  <si>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</si>
  <si>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</si>
  <si>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</si>
  <si>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</si>
  <si>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</si>
  <si>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</si>
  <si>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</si>
  <si>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</si>
  <si>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</si>
  <si>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</si>
  <si>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</si>
  <si>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</si>
  <si>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</si>
  <si>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</si>
  <si>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</si>
  <si>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</si>
  <si>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</si>
  <si>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</si>
  <si>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</si>
  <si>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</si>
  <si>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Turkish Republic of Northern Cyprus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</si>
  <si>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</si>
  <si>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</si>
  <si>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</si>
  <si>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</si>
  <si>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</si>
  <si>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</si>
  <si>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</si>
  <si>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</si>
  <si>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</si>
  <si>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</si>
  <si>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</si>
  <si>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</si>
  <si>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</si>
  <si>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</si>
  <si>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</si>
  <si>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</si>
  <si>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</si>
  <si>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</si>
  <si>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</si>
  <si>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</si>
  <si>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</si>
  <si>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RWR Haircut</t>
  </si>
  <si>
    <t>Country Group</t>
  </si>
  <si>
    <t>Country</t>
  </si>
  <si>
    <t>Remaining notional</t>
  </si>
  <si>
    <t>Remaining Notional</t>
  </si>
  <si>
    <t>RW under IRB approach</t>
  </si>
  <si>
    <t>EAD Approach</t>
  </si>
  <si>
    <t>Notional 
in EUR</t>
  </si>
  <si>
    <t>FX</t>
  </si>
  <si>
    <t>Equities SingleName</t>
  </si>
  <si>
    <t>Equities Index</t>
  </si>
  <si>
    <t>Electricity</t>
  </si>
  <si>
    <t>Oil/Gas</t>
  </si>
  <si>
    <t>Metals</t>
  </si>
  <si>
    <t>Agriculture</t>
  </si>
  <si>
    <t>Others Commodities</t>
  </si>
  <si>
    <t>Supervisory Factor</t>
  </si>
  <si>
    <t>Gold</t>
  </si>
  <si>
    <t>SA-CCR Product type</t>
  </si>
  <si>
    <t>Correlation</t>
  </si>
  <si>
    <t>SF Option Volatility</t>
  </si>
  <si>
    <t>SA-CCR Add-on parameters</t>
  </si>
  <si>
    <t>Product Type</t>
  </si>
  <si>
    <t>CDO</t>
  </si>
  <si>
    <t>Other Credit</t>
  </si>
  <si>
    <t>Moneyness</t>
  </si>
  <si>
    <t>Supervisory 
Volatility</t>
  </si>
  <si>
    <t>Supervisory 
Correlation</t>
  </si>
  <si>
    <t>Supervisory 
Factor</t>
  </si>
  <si>
    <t>EAD 
under CEM method</t>
  </si>
  <si>
    <t>EAD 
under SA-CCR method</t>
  </si>
  <si>
    <t>Supervisory
Duration</t>
  </si>
  <si>
    <t>Interest Rates and Credit</t>
  </si>
  <si>
    <t>Main Product type (Basel II)</t>
  </si>
  <si>
    <t>Main Product Type</t>
  </si>
  <si>
    <t>SA-CCR documentation link</t>
  </si>
  <si>
    <t>Regulatory Start Date</t>
  </si>
  <si>
    <t>Addon 
multiplier</t>
  </si>
  <si>
    <t>Time to underlying maturity date</t>
  </si>
  <si>
    <t>Time to start date</t>
  </si>
  <si>
    <t>0.4 + 0.6.NGR 
(=1)</t>
  </si>
  <si>
    <t>Supervisory
Delta</t>
  </si>
  <si>
    <t>Collateral in EUR
(at t=0)</t>
  </si>
  <si>
    <t>SA-CCR
Maturity Factor</t>
  </si>
  <si>
    <t>SA-CCR 
Product Type</t>
  </si>
  <si>
    <t>SA-CCR 
Adjusted Notional</t>
  </si>
  <si>
    <t>alpha</t>
  </si>
  <si>
    <t>MtM in EUR
(t=0)</t>
  </si>
  <si>
    <t>if no CSA</t>
  </si>
  <si>
    <t>CEM documentation link</t>
  </si>
  <si>
    <t>Is Option product?</t>
  </si>
  <si>
    <t>No CSA is the best of the two (CSA vs NoCSA)!</t>
  </si>
  <si>
    <t>Underlying Final Maturity Date</t>
  </si>
  <si>
    <t>Addon Exposure
(aka PFE)</t>
  </si>
  <si>
    <t>Replacement Cost
(aka RC)</t>
  </si>
  <si>
    <t>CSA used for Capital reduction</t>
  </si>
  <si>
    <t>Margin Call Frequency</t>
  </si>
  <si>
    <t>Call or Put?</t>
  </si>
  <si>
    <t>Call</t>
  </si>
  <si>
    <t>Comment/features</t>
  </si>
  <si>
    <t>Tool Version</t>
  </si>
  <si>
    <t>SA-CCR 
Notional</t>
  </si>
  <si>
    <t>Basis Trade</t>
  </si>
  <si>
    <t>Current Notional in CCY</t>
  </si>
  <si>
    <t>Reference Benchmark</t>
  </si>
  <si>
    <t>CEM approach
WWR for Equity
Reference Benchmark</t>
  </si>
  <si>
    <t>Valuation Date</t>
  </si>
  <si>
    <t>DefaultCapital 
under CEM method</t>
  </si>
  <si>
    <t>DefaultCapital 
under SA-CCR method</t>
  </si>
  <si>
    <t>CvaCAP 
under CEM method</t>
  </si>
  <si>
    <t>CvaCAP 
under SA-CCR method</t>
  </si>
  <si>
    <t>DefaultCapital 
used for KVA</t>
  </si>
  <si>
    <t>CvaCapital 
used for KVA</t>
  </si>
  <si>
    <t>DefaultCapital 
under IMM (proxy) method</t>
  </si>
  <si>
    <t>CvaCAP 
under IMM (proxy) method</t>
  </si>
  <si>
    <t>MaxEPE 
(proxy used)</t>
  </si>
  <si>
    <t>RWR for Commodities
SA-CCR addition
CSA for Capital (CEM and SA-CCR)
IMM proxy EAD</t>
  </si>
  <si>
    <t>EAD 
under proxy IMM method</t>
  </si>
  <si>
    <t>CIC Calculator</t>
  </si>
  <si>
    <t>Ultimate Expiry Date</t>
  </si>
  <si>
    <t>Remaining Notional in CCY</t>
  </si>
  <si>
    <t>Independent Amount in CCY</t>
  </si>
  <si>
    <t>Received Threshold+MTA in CCY</t>
  </si>
  <si>
    <t>IMM (proxy)</t>
  </si>
  <si>
    <t>Trade MtM: 0</t>
  </si>
  <si>
    <t>the PFE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</si>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</sst>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.0000_-;\-* #,##0.0000_-;_-* &quot;-&quot;??_-;_-@_-"/>
    <numFmt numFmtId="165" formatCode="0.000000%"/>
    <numFmt numFmtId="166" formatCode="0.0%"/>
    <numFmt numFmtId="167" formatCode="[$-F800]dddd\,\ mmmm\ dd\,\ yyyy"/>
    <numFmt numFmtId="168" formatCode="0.0000%"/>
    <numFmt numFmtId="169" formatCode="#,##0.0000"/>
    <numFmt numFmtId="170" formatCode="0.000%"/>
    <numFmt numFmtId="171" formatCode="#,##0.00_ ;\-#,##0.00\ "/>
    <numFmt numFmtId="172" formatCode="dd\-mmm\-yy;@"/>
    <numFmt numFmtId="173" formatCode="#,##0.00000"/>
    <numFmt numFmtId="174" formatCode="#,##0.0000000"/>
    <numFmt numFmtId="175" formatCode="_-* #,##0.00000000_-;\-* #,##0.00000000_-;_-* &quot;-&quot;??_-;_-@_-"/>
    <numFmt numFmtId="176" formatCode="#,##0.0"/>
    <numFmt numFmtId="177" formatCode="#,##0.000"/>
    <numFmt numFmtId="178" formatCode="_-* #,##0.0000000_-;\-* #,##0.0000000_-;_-* &quot;-&quot;??_-;_-@_-"/>
    <numFmt numFmtId="179" formatCode="\+#,##0%;\-#,##0%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b/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0" tint="-0.499984740745262"/>
      <name val="Calibri"/>
      <family val="2"/>
      <scheme val="minor"/>
    </font>
    <font>
      <i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rgb="FF00B050"/>
      <name val="Times New Roman"/>
      <family val="1"/>
    </font>
    <font>
      <sz val="11"/>
      <name val="Times New Roman"/>
      <family val="1"/>
    </font>
    <font>
      <i/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/>
    <xf numFmtId="0" fontId="18" fillId="0" borderId="0"/>
  </cellStyleXfs>
  <cellXfs count="299">
    <xf numFmtId="0" fontId="0" fillId="0" borderId="0" xfId="0"/>
    <xf numFmtId="0" fontId="0" fillId="33" borderId="0" xfId="0" applyFill="1"/>
    <xf numFmtId="0" fontId="21" fillId="34" borderId="0" xfId="44" applyFont="1" applyFill="1" applyBorder="1" applyAlignment="1">
      <alignment vertical="center" wrapText="1"/>
    </xf>
    <xf numFmtId="0" fontId="0" fillId="0" borderId="0" xfId="0" applyFill="1"/>
    <xf numFmtId="0" fontId="23" fillId="34" borderId="0" xfId="44" applyFont="1" applyFill="1"/>
    <xf numFmtId="0" fontId="18" fillId="0" borderId="0" xfId="45"/>
    <xf numFmtId="0" fontId="22" fillId="33" borderId="0" xfId="44" applyFont="1" applyFill="1" applyBorder="1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 applyAlignment="1">
      <alignment horizontal="center"/>
    </xf>
    <xf numFmtId="0" fontId="0" fillId="33" borderId="0" xfId="0" applyFill="1" applyAlignment="1">
      <alignment horizontal="center"/>
    </xf>
    <xf numFmtId="15" fontId="0" fillId="0" borderId="0" xfId="0" applyNumberFormat="1"/>
    <xf numFmtId="0" fontId="18" fillId="33" borderId="0" xfId="45" applyFill="1"/>
    <xf numFmtId="0" fontId="19" fillId="33" borderId="0" xfId="45" applyFont="1" applyFill="1"/>
    <xf numFmtId="0" fontId="18" fillId="33" borderId="10" xfId="45" applyFill="1" applyBorder="1"/>
    <xf numFmtId="9" fontId="18" fillId="33" borderId="10" xfId="45" applyNumberFormat="1" applyFill="1" applyBorder="1"/>
    <xf numFmtId="10" fontId="18" fillId="33" borderId="10" xfId="45" applyNumberFormat="1" applyFill="1" applyBorder="1"/>
    <xf numFmtId="3" fontId="0" fillId="0" borderId="0" xfId="0" applyNumberFormat="1" applyBorder="1"/>
    <xf numFmtId="0" fontId="0" fillId="0" borderId="0" xfId="0" applyBorder="1"/>
    <xf numFmtId="164" fontId="0" fillId="0" borderId="0" xfId="1" applyNumberFormat="1" applyFont="1" applyFill="1" applyBorder="1"/>
    <xf numFmtId="10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3" fillId="37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/>
    </xf>
    <xf numFmtId="0" fontId="0" fillId="33" borderId="0" xfId="0" applyFill="1" applyBorder="1"/>
    <xf numFmtId="0" fontId="23" fillId="34" borderId="14" xfId="44" applyFont="1" applyFill="1" applyBorder="1"/>
    <xf numFmtId="0" fontId="23" fillId="34" borderId="0" xfId="44" applyFont="1" applyFill="1" applyBorder="1"/>
    <xf numFmtId="0" fontId="22" fillId="33" borderId="0" xfId="44" applyFont="1" applyFill="1" applyBorder="1" applyAlignment="1">
      <alignment horizontal="center" vertical="center" wrapText="1"/>
    </xf>
    <xf numFmtId="15" fontId="0" fillId="39" borderId="19" xfId="0" applyNumberFormat="1" applyFill="1" applyBorder="1"/>
    <xf numFmtId="3" fontId="0" fillId="39" borderId="0" xfId="0" applyNumberFormat="1" applyFill="1" applyBorder="1"/>
    <xf numFmtId="3" fontId="0" fillId="39" borderId="20" xfId="0" applyNumberFormat="1" applyFill="1" applyBorder="1"/>
    <xf numFmtId="15" fontId="0" fillId="39" borderId="21" xfId="0" applyNumberFormat="1" applyFill="1" applyBorder="1"/>
    <xf numFmtId="3" fontId="0" fillId="39" borderId="22" xfId="0" applyNumberFormat="1" applyFill="1" applyBorder="1"/>
    <xf numFmtId="3" fontId="0" fillId="39" borderId="23" xfId="0" applyNumberFormat="1" applyFill="1" applyBorder="1"/>
    <xf numFmtId="4" fontId="0" fillId="39" borderId="19" xfId="0" applyNumberFormat="1" applyFill="1" applyBorder="1"/>
    <xf numFmtId="4" fontId="0" fillId="39" borderId="21" xfId="0" applyNumberFormat="1" applyFill="1" applyBorder="1"/>
    <xf numFmtId="0" fontId="13" fillId="38" borderId="24" xfId="0" applyFont="1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4" fontId="0" fillId="0" borderId="0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0" fontId="16" fillId="33" borderId="32" xfId="0" applyFont="1" applyFill="1" applyBorder="1" applyAlignment="1">
      <alignment horizontal="center"/>
    </xf>
    <xf numFmtId="0" fontId="26" fillId="33" borderId="33" xfId="0" applyFont="1" applyFill="1" applyBorder="1" applyAlignment="1">
      <alignment horizontal="center"/>
    </xf>
    <xf numFmtId="171" fontId="26" fillId="33" borderId="34" xfId="0" applyNumberFormat="1" applyFont="1" applyFill="1" applyBorder="1" applyAlignment="1">
      <alignment horizontal="center"/>
    </xf>
    <xf numFmtId="0" fontId="13" fillId="42" borderId="0" xfId="0" applyFont="1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0" fontId="22" fillId="33" borderId="0" xfId="44" applyFont="1" applyFill="1" applyBorder="1" applyAlignment="1">
      <alignment horizontal="center" vertical="center" wrapText="1"/>
    </xf>
    <xf numFmtId="0" fontId="0" fillId="33" borderId="19" xfId="0" applyFill="1" applyBorder="1"/>
    <xf numFmtId="0" fontId="0" fillId="33" borderId="21" xfId="0" applyFill="1" applyBorder="1"/>
    <xf numFmtId="0" fontId="0" fillId="0" borderId="24" xfId="0" applyBorder="1"/>
    <xf numFmtId="0" fontId="0" fillId="0" borderId="10" xfId="0" applyBorder="1"/>
    <xf numFmtId="10" fontId="0" fillId="33" borderId="25" xfId="0" applyNumberFormat="1" applyFill="1" applyBorder="1"/>
    <xf numFmtId="9" fontId="0" fillId="33" borderId="25" xfId="0" applyNumberFormat="1" applyFill="1" applyBorder="1"/>
    <xf numFmtId="9" fontId="0" fillId="33" borderId="26" xfId="0" applyNumberFormat="1" applyFill="1" applyBorder="1"/>
    <xf numFmtId="0" fontId="0" fillId="33" borderId="19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18" fillId="33" borderId="29" xfId="45" applyFill="1" applyBorder="1"/>
    <xf numFmtId="0" fontId="18" fillId="33" borderId="35" xfId="45" applyFill="1" applyBorder="1"/>
    <xf numFmtId="0" fontId="0" fillId="33" borderId="19" xfId="0" applyFill="1" applyBorder="1" applyAlignment="1">
      <alignment vertical="center"/>
    </xf>
    <xf numFmtId="0" fontId="18" fillId="33" borderId="0" xfId="45" applyFill="1" applyBorder="1"/>
    <xf numFmtId="0" fontId="18" fillId="33" borderId="0" xfId="45" applyFont="1" applyFill="1" applyBorder="1"/>
    <xf numFmtId="0" fontId="18" fillId="33" borderId="20" xfId="45" applyFont="1" applyFill="1" applyBorder="1"/>
    <xf numFmtId="0" fontId="0" fillId="33" borderId="21" xfId="0" applyFill="1" applyBorder="1" applyAlignment="1">
      <alignment vertical="center"/>
    </xf>
    <xf numFmtId="0" fontId="18" fillId="33" borderId="22" xfId="45" applyFill="1" applyBorder="1"/>
    <xf numFmtId="0" fontId="18" fillId="33" borderId="22" xfId="45" applyFont="1" applyFill="1" applyBorder="1"/>
    <xf numFmtId="0" fontId="18" fillId="33" borderId="23" xfId="45" applyFont="1" applyFill="1" applyBorder="1"/>
    <xf numFmtId="0" fontId="18" fillId="33" borderId="24" xfId="45" applyFill="1" applyBorder="1"/>
    <xf numFmtId="0" fontId="18" fillId="33" borderId="31" xfId="45" applyFill="1" applyBorder="1"/>
    <xf numFmtId="0" fontId="18" fillId="33" borderId="20" xfId="45" applyFill="1" applyBorder="1"/>
    <xf numFmtId="0" fontId="18" fillId="33" borderId="23" xfId="45" applyFill="1" applyBorder="1"/>
    <xf numFmtId="0" fontId="18" fillId="33" borderId="19" xfId="45" applyFill="1" applyBorder="1"/>
    <xf numFmtId="9" fontId="18" fillId="33" borderId="20" xfId="45" applyNumberFormat="1" applyFill="1" applyBorder="1"/>
    <xf numFmtId="0" fontId="18" fillId="33" borderId="21" xfId="45" applyFill="1" applyBorder="1"/>
    <xf numFmtId="9" fontId="18" fillId="33" borderId="23" xfId="45" applyNumberFormat="1" applyFill="1" applyBorder="1"/>
    <xf numFmtId="9" fontId="18" fillId="33" borderId="25" xfId="45" applyNumberFormat="1" applyFill="1" applyBorder="1"/>
    <xf numFmtId="9" fontId="18" fillId="33" borderId="26" xfId="45" applyNumberFormat="1" applyFill="1" applyBorder="1"/>
    <xf numFmtId="0" fontId="18" fillId="33" borderId="30" xfId="45" applyFill="1" applyBorder="1" applyAlignment="1">
      <alignment horizontal="center"/>
    </xf>
    <xf numFmtId="0" fontId="18" fillId="33" borderId="31" xfId="45" applyFill="1" applyBorder="1" applyAlignment="1">
      <alignment horizontal="center"/>
    </xf>
    <xf numFmtId="0" fontId="18" fillId="33" borderId="25" xfId="45" applyFill="1" applyBorder="1"/>
    <xf numFmtId="0" fontId="18" fillId="33" borderId="26" xfId="45" applyFill="1" applyBorder="1"/>
    <xf numFmtId="0" fontId="0" fillId="0" borderId="31" xfId="0" applyFill="1" applyBorder="1"/>
    <xf numFmtId="0" fontId="0" fillId="0" borderId="10" xfId="0" applyFill="1" applyBorder="1"/>
    <xf numFmtId="0" fontId="18" fillId="33" borderId="27" xfId="45" applyFill="1" applyBorder="1"/>
    <xf numFmtId="9" fontId="18" fillId="33" borderId="28" xfId="45" applyNumberFormat="1" applyFill="1" applyBorder="1"/>
    <xf numFmtId="9" fontId="0" fillId="40" borderId="10" xfId="2" applyNumberFormat="1" applyFont="1" applyFill="1" applyBorder="1" applyAlignment="1">
      <alignment horizontal="center"/>
    </xf>
    <xf numFmtId="0" fontId="0" fillId="33" borderId="20" xfId="0" applyFill="1" applyBorder="1"/>
    <xf numFmtId="0" fontId="0" fillId="33" borderId="22" xfId="0" applyFill="1" applyBorder="1"/>
    <xf numFmtId="0" fontId="0" fillId="33" borderId="23" xfId="0" applyFill="1" applyBorder="1"/>
    <xf numFmtId="0" fontId="0" fillId="33" borderId="0" xfId="0" applyFill="1" applyBorder="1" applyAlignment="1">
      <alignment horizontal="center"/>
    </xf>
    <xf numFmtId="0" fontId="24" fillId="33" borderId="19" xfId="0" applyFont="1" applyFill="1" applyBorder="1" applyAlignment="1">
      <alignment horizontal="left"/>
    </xf>
    <xf numFmtId="167" fontId="0" fillId="33" borderId="0" xfId="0" applyNumberFormat="1" applyFill="1" applyBorder="1"/>
    <xf numFmtId="0" fontId="0" fillId="33" borderId="0" xfId="0" applyFont="1" applyFill="1" applyBorder="1" applyAlignment="1">
      <alignment horizontal="center"/>
    </xf>
    <xf numFmtId="0" fontId="25" fillId="33" borderId="0" xfId="0" applyFont="1" applyFill="1" applyBorder="1"/>
    <xf numFmtId="0" fontId="0" fillId="0" borderId="19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27" fillId="33" borderId="0" xfId="0" applyFont="1" applyFill="1" applyBorder="1" applyAlignment="1">
      <alignment horizontal="left"/>
    </xf>
    <xf numFmtId="0" fontId="18" fillId="33" borderId="27" xfId="45" applyFill="1" applyBorder="1" applyAlignment="1">
      <alignment horizontal="center"/>
    </xf>
    <xf numFmtId="9" fontId="18" fillId="33" borderId="27" xfId="45" applyNumberFormat="1" applyFill="1" applyBorder="1"/>
    <xf numFmtId="0" fontId="29" fillId="33" borderId="0" xfId="0" applyFont="1" applyFill="1"/>
    <xf numFmtId="0" fontId="29" fillId="33" borderId="0" xfId="0" applyFont="1" applyFill="1" applyBorder="1"/>
    <xf numFmtId="0" fontId="30" fillId="33" borderId="0" xfId="0" applyFont="1" applyFill="1"/>
    <xf numFmtId="0" fontId="30" fillId="33" borderId="36" xfId="0" applyFont="1" applyFill="1" applyBorder="1"/>
    <xf numFmtId="0" fontId="31" fillId="33" borderId="36" xfId="0" applyFont="1" applyFill="1" applyBorder="1" applyAlignment="1">
      <alignment horizontal="right"/>
    </xf>
    <xf numFmtId="0" fontId="30" fillId="41" borderId="0" xfId="0" applyFont="1" applyFill="1" applyBorder="1" applyAlignment="1">
      <alignment horizontal="left"/>
    </xf>
    <xf numFmtId="3" fontId="30" fillId="41" borderId="0" xfId="2" applyNumberFormat="1" applyFont="1" applyFill="1" applyBorder="1" applyAlignment="1">
      <alignment horizontal="right"/>
    </xf>
    <xf numFmtId="0" fontId="30" fillId="33" borderId="0" xfId="0" applyFont="1" applyFill="1" applyBorder="1" applyAlignment="1">
      <alignment horizontal="left"/>
    </xf>
    <xf numFmtId="3" fontId="30" fillId="33" borderId="0" xfId="2" applyNumberFormat="1" applyFont="1" applyFill="1" applyBorder="1" applyAlignment="1">
      <alignment horizontal="right"/>
    </xf>
    <xf numFmtId="0" fontId="30" fillId="41" borderId="36" xfId="0" applyFont="1" applyFill="1" applyBorder="1" applyAlignment="1">
      <alignment horizontal="left"/>
    </xf>
    <xf numFmtId="3" fontId="30" fillId="41" borderId="36" xfId="2" applyNumberFormat="1" applyFont="1" applyFill="1" applyBorder="1" applyAlignment="1">
      <alignment horizontal="right"/>
    </xf>
    <xf numFmtId="0" fontId="31" fillId="33" borderId="36" xfId="0" applyFont="1" applyFill="1" applyBorder="1" applyAlignment="1">
      <alignment horizontal="right" indent="1"/>
    </xf>
    <xf numFmtId="0" fontId="0" fillId="44" borderId="10" xfId="0" applyFill="1" applyBorder="1" applyAlignment="1">
      <alignment horizontal="center"/>
    </xf>
    <xf numFmtId="3" fontId="0" fillId="44" borderId="10" xfId="0" applyNumberFormat="1" applyFill="1" applyBorder="1" applyAlignment="1">
      <alignment horizontal="center"/>
    </xf>
    <xf numFmtId="3" fontId="0" fillId="44" borderId="10" xfId="2" applyNumberFormat="1" applyFont="1" applyFill="1" applyBorder="1" applyAlignment="1">
      <alignment horizontal="center"/>
    </xf>
    <xf numFmtId="10" fontId="0" fillId="44" borderId="10" xfId="2" applyNumberFormat="1" applyFont="1" applyFill="1" applyBorder="1" applyAlignment="1">
      <alignment horizontal="center"/>
    </xf>
    <xf numFmtId="166" fontId="0" fillId="44" borderId="10" xfId="2" applyNumberFormat="1" applyFont="1" applyFill="1" applyBorder="1" applyAlignment="1">
      <alignment horizontal="center"/>
    </xf>
    <xf numFmtId="15" fontId="0" fillId="44" borderId="19" xfId="0" applyNumberFormat="1" applyFill="1" applyBorder="1"/>
    <xf numFmtId="3" fontId="0" fillId="44" borderId="0" xfId="0" applyNumberFormat="1" applyFill="1" applyBorder="1"/>
    <xf numFmtId="15" fontId="0" fillId="44" borderId="21" xfId="0" applyNumberFormat="1" applyFill="1" applyBorder="1"/>
    <xf numFmtId="3" fontId="0" fillId="44" borderId="22" xfId="0" applyNumberFormat="1" applyFill="1" applyBorder="1"/>
    <xf numFmtId="4" fontId="0" fillId="44" borderId="19" xfId="0" applyNumberFormat="1" applyFill="1" applyBorder="1"/>
    <xf numFmtId="168" fontId="0" fillId="44" borderId="20" xfId="2" applyNumberFormat="1" applyFont="1" applyFill="1" applyBorder="1"/>
    <xf numFmtId="4" fontId="0" fillId="44" borderId="21" xfId="0" applyNumberFormat="1" applyFill="1" applyBorder="1"/>
    <xf numFmtId="168" fontId="0" fillId="44" borderId="23" xfId="2" applyNumberFormat="1" applyFont="1" applyFill="1" applyBorder="1"/>
    <xf numFmtId="3" fontId="0" fillId="39" borderId="19" xfId="0" applyNumberFormat="1" applyFill="1" applyBorder="1"/>
    <xf numFmtId="3" fontId="0" fillId="39" borderId="19" xfId="2" applyNumberFormat="1" applyFont="1" applyFill="1" applyBorder="1"/>
    <xf numFmtId="3" fontId="0" fillId="39" borderId="21" xfId="0" applyNumberFormat="1" applyFill="1" applyBorder="1"/>
    <xf numFmtId="3" fontId="0" fillId="43" borderId="19" xfId="0" applyNumberFormat="1" applyFill="1" applyBorder="1"/>
    <xf numFmtId="3" fontId="0" fillId="43" borderId="0" xfId="0" applyNumberFormat="1" applyFill="1" applyBorder="1"/>
    <xf numFmtId="0" fontId="22" fillId="33" borderId="0" xfId="44" applyFont="1" applyFill="1" applyBorder="1" applyAlignment="1">
      <alignment horizontal="center" vertical="center" wrapText="1"/>
    </xf>
    <xf numFmtId="0" fontId="0" fillId="40" borderId="10" xfId="2" applyNumberFormat="1" applyFont="1" applyFill="1" applyBorder="1" applyAlignment="1">
      <alignment horizontal="center"/>
    </xf>
    <xf numFmtId="170" fontId="0" fillId="0" borderId="0" xfId="2" applyNumberFormat="1" applyFont="1"/>
    <xf numFmtId="0" fontId="13" fillId="38" borderId="31" xfId="0" applyFont="1" applyFill="1" applyBorder="1" applyAlignment="1">
      <alignment horizontal="center"/>
    </xf>
    <xf numFmtId="170" fontId="0" fillId="39" borderId="37" xfId="2" applyNumberFormat="1" applyFont="1" applyFill="1" applyBorder="1"/>
    <xf numFmtId="170" fontId="0" fillId="39" borderId="38" xfId="2" applyNumberFormat="1" applyFont="1" applyFill="1" applyBorder="1"/>
    <xf numFmtId="170" fontId="0" fillId="39" borderId="39" xfId="2" applyNumberFormat="1" applyFont="1" applyFill="1" applyBorder="1"/>
    <xf numFmtId="3" fontId="0" fillId="39" borderId="25" xfId="0" applyNumberFormat="1" applyFill="1" applyBorder="1"/>
    <xf numFmtId="3" fontId="0" fillId="39" borderId="25" xfId="2" applyNumberFormat="1" applyFont="1" applyFill="1" applyBorder="1"/>
    <xf numFmtId="3" fontId="0" fillId="39" borderId="26" xfId="0" applyNumberFormat="1" applyFill="1" applyBorder="1"/>
    <xf numFmtId="3" fontId="0" fillId="33" borderId="0" xfId="0" applyNumberFormat="1" applyFill="1" applyBorder="1"/>
    <xf numFmtId="0" fontId="13" fillId="37" borderId="24" xfId="0" applyFont="1" applyFill="1" applyBorder="1" applyAlignment="1">
      <alignment horizontal="center"/>
    </xf>
    <xf numFmtId="170" fontId="0" fillId="40" borderId="10" xfId="2" applyNumberFormat="1" applyFont="1" applyFill="1" applyBorder="1" applyAlignment="1">
      <alignment horizontal="center"/>
    </xf>
    <xf numFmtId="0" fontId="0" fillId="33" borderId="0" xfId="0" applyNumberFormat="1" applyFill="1"/>
    <xf numFmtId="172" fontId="0" fillId="44" borderId="10" xfId="0" applyNumberFormat="1" applyFill="1" applyBorder="1" applyAlignment="1">
      <alignment horizontal="center"/>
    </xf>
    <xf numFmtId="169" fontId="0" fillId="39" borderId="28" xfId="0" applyNumberFormat="1" applyFill="1" applyBorder="1"/>
    <xf numFmtId="169" fontId="0" fillId="39" borderId="20" xfId="2" applyNumberFormat="1" applyFont="1" applyFill="1" applyBorder="1"/>
    <xf numFmtId="169" fontId="0" fillId="39" borderId="20" xfId="0" applyNumberFormat="1" applyFill="1" applyBorder="1"/>
    <xf numFmtId="169" fontId="0" fillId="39" borderId="23" xfId="0" applyNumberFormat="1" applyFill="1" applyBorder="1"/>
    <xf numFmtId="168" fontId="0" fillId="39" borderId="40" xfId="2" applyNumberFormat="1" applyFont="1" applyFill="1" applyBorder="1"/>
    <xf numFmtId="168" fontId="0" fillId="39" borderId="41" xfId="2" applyNumberFormat="1" applyFont="1" applyFill="1" applyBorder="1"/>
    <xf numFmtId="168" fontId="0" fillId="39" borderId="42" xfId="2" applyNumberFormat="1" applyFont="1" applyFill="1" applyBorder="1"/>
    <xf numFmtId="169" fontId="0" fillId="39" borderId="35" xfId="0" applyNumberFormat="1" applyFill="1" applyBorder="1"/>
    <xf numFmtId="169" fontId="0" fillId="39" borderId="0" xfId="2" applyNumberFormat="1" applyFont="1" applyFill="1" applyBorder="1"/>
    <xf numFmtId="169" fontId="0" fillId="39" borderId="0" xfId="0" applyNumberFormat="1" applyFill="1" applyBorder="1"/>
    <xf numFmtId="169" fontId="0" fillId="39" borderId="22" xfId="0" applyNumberFormat="1" applyFill="1" applyBorder="1"/>
    <xf numFmtId="4" fontId="0" fillId="39" borderId="43" xfId="0" applyNumberFormat="1" applyFill="1" applyBorder="1"/>
    <xf numFmtId="4" fontId="0" fillId="39" borderId="44" xfId="0" applyNumberFormat="1" applyFill="1" applyBorder="1"/>
    <xf numFmtId="4" fontId="0" fillId="39" borderId="45" xfId="0" applyNumberFormat="1" applyFill="1" applyBorder="1"/>
    <xf numFmtId="3" fontId="0" fillId="39" borderId="29" xfId="0" applyNumberFormat="1" applyFill="1" applyBorder="1"/>
    <xf numFmtId="3" fontId="0" fillId="39" borderId="28" xfId="0" applyNumberFormat="1" applyFill="1" applyBorder="1"/>
    <xf numFmtId="172" fontId="0" fillId="41" borderId="10" xfId="0" applyNumberFormat="1" applyFill="1" applyBorder="1" applyAlignment="1">
      <alignment horizontal="center"/>
    </xf>
    <xf numFmtId="165" fontId="0" fillId="33" borderId="0" xfId="2" applyNumberFormat="1" applyFont="1" applyFill="1" applyBorder="1"/>
    <xf numFmtId="173" fontId="0" fillId="33" borderId="0" xfId="0" applyNumberFormat="1" applyFill="1" applyBorder="1"/>
    <xf numFmtId="170" fontId="0" fillId="33" borderId="0" xfId="0" applyNumberFormat="1" applyFill="1" applyBorder="1"/>
    <xf numFmtId="3" fontId="16" fillId="39" borderId="19" xfId="0" applyNumberFormat="1" applyFont="1" applyFill="1" applyBorder="1"/>
    <xf numFmtId="0" fontId="22" fillId="33" borderId="0" xfId="44" applyFont="1" applyFill="1" applyBorder="1" applyAlignment="1">
      <alignment horizontal="center" vertical="center" wrapText="1"/>
    </xf>
    <xf numFmtId="0" fontId="0" fillId="33" borderId="19" xfId="0" applyFont="1" applyFill="1" applyBorder="1" applyAlignment="1">
      <alignment horizontal="center"/>
    </xf>
    <xf numFmtId="0" fontId="0" fillId="33" borderId="21" xfId="0" applyFont="1" applyFill="1" applyBorder="1" applyAlignment="1">
      <alignment horizontal="center"/>
    </xf>
    <xf numFmtId="170" fontId="0" fillId="39" borderId="28" xfId="2" applyNumberFormat="1" applyFont="1" applyFill="1" applyBorder="1" applyAlignment="1">
      <alignment horizontal="right"/>
    </xf>
    <xf numFmtId="170" fontId="0" fillId="39" borderId="20" xfId="2" applyNumberFormat="1" applyFont="1" applyFill="1" applyBorder="1" applyAlignment="1">
      <alignment horizontal="right"/>
    </xf>
    <xf numFmtId="170" fontId="0" fillId="39" borderId="23" xfId="2" applyNumberFormat="1" applyFont="1" applyFill="1" applyBorder="1" applyAlignment="1">
      <alignment horizontal="right"/>
    </xf>
    <xf numFmtId="0" fontId="13" fillId="37" borderId="31" xfId="0" applyFont="1" applyFill="1" applyBorder="1" applyAlignment="1">
      <alignment horizontal="center"/>
    </xf>
    <xf numFmtId="170" fontId="0" fillId="39" borderId="46" xfId="2" applyNumberFormat="1" applyFont="1" applyFill="1" applyBorder="1"/>
    <xf numFmtId="170" fontId="0" fillId="39" borderId="47" xfId="2" applyNumberFormat="1" applyFont="1" applyFill="1" applyBorder="1"/>
    <xf numFmtId="170" fontId="0" fillId="39" borderId="48" xfId="2" applyNumberFormat="1" applyFont="1" applyFill="1" applyBorder="1"/>
    <xf numFmtId="0" fontId="1" fillId="41" borderId="10" xfId="2" applyNumberFormat="1" applyFont="1" applyFill="1" applyBorder="1" applyAlignment="1">
      <alignment horizontal="center"/>
    </xf>
    <xf numFmtId="174" fontId="0" fillId="44" borderId="10" xfId="2" applyNumberFormat="1" applyFont="1" applyFill="1" applyBorder="1" applyAlignment="1">
      <alignment horizontal="center"/>
    </xf>
    <xf numFmtId="3" fontId="0" fillId="41" borderId="10" xfId="0" applyNumberFormat="1" applyFill="1" applyBorder="1" applyAlignment="1">
      <alignment horizontal="center"/>
    </xf>
    <xf numFmtId="0" fontId="0" fillId="41" borderId="10" xfId="0" applyNumberFormat="1" applyFill="1" applyBorder="1" applyAlignment="1">
      <alignment horizontal="center"/>
    </xf>
    <xf numFmtId="0" fontId="0" fillId="45" borderId="0" xfId="0" applyFill="1" applyBorder="1"/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3" fontId="0" fillId="35" borderId="19" xfId="0" applyNumberFormat="1" applyFill="1" applyBorder="1" applyAlignment="1">
      <alignment vertical="center"/>
    </xf>
    <xf numFmtId="3" fontId="0" fillId="35" borderId="0" xfId="0" applyNumberFormat="1" applyFill="1" applyBorder="1" applyAlignment="1">
      <alignment vertical="center"/>
    </xf>
    <xf numFmtId="0" fontId="0" fillId="35" borderId="0" xfId="0" applyFill="1" applyAlignment="1">
      <alignment vertical="center"/>
    </xf>
    <xf numFmtId="3" fontId="0" fillId="36" borderId="0" xfId="0" applyNumberFormat="1" applyFill="1" applyAlignment="1">
      <alignment vertical="center"/>
    </xf>
    <xf numFmtId="0" fontId="22" fillId="33" borderId="0" xfId="44" applyFont="1" applyFill="1" applyBorder="1" applyAlignment="1">
      <alignment horizontal="center" vertical="center" wrapText="1"/>
    </xf>
    <xf numFmtId="14" fontId="0" fillId="33" borderId="0" xfId="0" applyNumberFormat="1" applyFill="1" applyBorder="1"/>
    <xf numFmtId="14" fontId="0" fillId="33" borderId="22" xfId="0" applyNumberFormat="1" applyFill="1" applyBorder="1"/>
    <xf numFmtId="14" fontId="0" fillId="33" borderId="0" xfId="0" applyNumberFormat="1" applyFill="1"/>
    <xf numFmtId="15" fontId="0" fillId="39" borderId="19" xfId="0" applyNumberFormat="1" applyFont="1" applyFill="1" applyBorder="1"/>
    <xf numFmtId="4" fontId="0" fillId="39" borderId="19" xfId="0" applyNumberFormat="1" applyFont="1" applyFill="1" applyBorder="1"/>
    <xf numFmtId="168" fontId="1" fillId="39" borderId="41" xfId="2" applyNumberFormat="1" applyFont="1" applyFill="1" applyBorder="1"/>
    <xf numFmtId="169" fontId="0" fillId="39" borderId="20" xfId="0" applyNumberFormat="1" applyFont="1" applyFill="1" applyBorder="1"/>
    <xf numFmtId="169" fontId="0" fillId="39" borderId="0" xfId="0" applyNumberFormat="1" applyFont="1" applyFill="1" applyBorder="1"/>
    <xf numFmtId="170" fontId="1" fillId="39" borderId="38" xfId="2" applyNumberFormat="1" applyFont="1" applyFill="1" applyBorder="1"/>
    <xf numFmtId="170" fontId="1" fillId="39" borderId="47" xfId="2" applyNumberFormat="1" applyFont="1" applyFill="1" applyBorder="1"/>
    <xf numFmtId="170" fontId="1" fillId="39" borderId="20" xfId="2" applyNumberFormat="1" applyFont="1" applyFill="1" applyBorder="1" applyAlignment="1">
      <alignment horizontal="right"/>
    </xf>
    <xf numFmtId="3" fontId="0" fillId="39" borderId="19" xfId="0" applyNumberFormat="1" applyFont="1" applyFill="1" applyBorder="1"/>
    <xf numFmtId="3" fontId="0" fillId="39" borderId="20" xfId="0" applyNumberFormat="1" applyFont="1" applyFill="1" applyBorder="1"/>
    <xf numFmtId="3" fontId="0" fillId="39" borderId="0" xfId="0" applyNumberFormat="1" applyFont="1" applyFill="1" applyBorder="1"/>
    <xf numFmtId="4" fontId="0" fillId="39" borderId="44" xfId="0" applyNumberFormat="1" applyFont="1" applyFill="1" applyBorder="1"/>
    <xf numFmtId="3" fontId="0" fillId="39" borderId="25" xfId="0" applyNumberFormat="1" applyFont="1" applyFill="1" applyBorder="1"/>
    <xf numFmtId="0" fontId="22" fillId="33" borderId="0" xfId="44" applyFont="1" applyFill="1" applyBorder="1" applyAlignment="1">
      <alignment horizontal="center" vertical="center" wrapText="1"/>
    </xf>
    <xf numFmtId="10" fontId="0" fillId="39" borderId="40" xfId="2" applyNumberFormat="1" applyFont="1" applyFill="1" applyBorder="1"/>
    <xf numFmtId="10" fontId="0" fillId="39" borderId="41" xfId="2" applyNumberFormat="1" applyFont="1" applyFill="1" applyBorder="1"/>
    <xf numFmtId="0" fontId="18" fillId="33" borderId="25" xfId="45" applyFill="1" applyBorder="1" applyAlignment="1">
      <alignment horizontal="center"/>
    </xf>
    <xf numFmtId="0" fontId="18" fillId="33" borderId="26" xfId="45" applyFill="1" applyBorder="1" applyAlignment="1">
      <alignment horizontal="center"/>
    </xf>
    <xf numFmtId="0" fontId="13" fillId="38" borderId="27" xfId="0" applyFont="1" applyFill="1" applyBorder="1" applyAlignment="1">
      <alignment horizontal="center"/>
    </xf>
    <xf numFmtId="3" fontId="0" fillId="41" borderId="27" xfId="0" applyNumberFormat="1" applyFill="1" applyBorder="1" applyAlignment="1">
      <alignment horizontal="center"/>
    </xf>
    <xf numFmtId="10" fontId="0" fillId="39" borderId="42" xfId="2" applyNumberFormat="1" applyFont="1" applyFill="1" applyBorder="1"/>
    <xf numFmtId="9" fontId="0" fillId="41" borderId="10" xfId="2" applyFont="1" applyFill="1" applyBorder="1" applyAlignment="1">
      <alignment horizontal="center"/>
    </xf>
    <xf numFmtId="0" fontId="18" fillId="33" borderId="0" xfId="45" applyFill="1" applyAlignment="1">
      <alignment horizontal="center"/>
    </xf>
    <xf numFmtId="9" fontId="18" fillId="33" borderId="27" xfId="45" applyNumberFormat="1" applyFill="1" applyBorder="1" applyAlignment="1">
      <alignment horizontal="center"/>
    </xf>
    <xf numFmtId="9" fontId="18" fillId="33" borderId="25" xfId="45" applyNumberFormat="1" applyFill="1" applyBorder="1" applyAlignment="1">
      <alignment horizontal="center"/>
    </xf>
    <xf numFmtId="9" fontId="18" fillId="33" borderId="26" xfId="45" applyNumberFormat="1" applyFill="1" applyBorder="1" applyAlignment="1">
      <alignment horizontal="center"/>
    </xf>
    <xf numFmtId="0" fontId="18" fillId="33" borderId="10" xfId="45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3" fontId="0" fillId="44" borderId="0" xfId="0" applyNumberFormat="1" applyFill="1"/>
    <xf numFmtId="0" fontId="0" fillId="0" borderId="0" xfId="0" applyFill="1" applyBorder="1"/>
    <xf numFmtId="3" fontId="0" fillId="0" borderId="0" xfId="0" applyNumberFormat="1" applyFill="1" applyBorder="1"/>
    <xf numFmtId="3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3" fontId="0" fillId="0" borderId="0" xfId="0" applyNumberFormat="1" applyBorder="1" applyAlignment="1">
      <alignment vertical="center" wrapText="1"/>
    </xf>
    <xf numFmtId="10" fontId="18" fillId="33" borderId="0" xfId="45" applyNumberFormat="1" applyFill="1"/>
    <xf numFmtId="0" fontId="18" fillId="33" borderId="10" xfId="45" applyFont="1" applyFill="1" applyBorder="1"/>
    <xf numFmtId="3" fontId="0" fillId="44" borderId="49" xfId="0" applyNumberFormat="1" applyFill="1" applyBorder="1"/>
    <xf numFmtId="3" fontId="0" fillId="44" borderId="50" xfId="0" applyNumberFormat="1" applyFill="1" applyBorder="1"/>
    <xf numFmtId="3" fontId="0" fillId="44" borderId="51" xfId="0" applyNumberFormat="1" applyFill="1" applyBorder="1"/>
    <xf numFmtId="9" fontId="18" fillId="37" borderId="10" xfId="45" applyNumberFormat="1" applyFill="1" applyBorder="1"/>
    <xf numFmtId="4" fontId="0" fillId="44" borderId="10" xfId="0" applyNumberForma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9" fontId="0" fillId="0" borderId="0" xfId="2" applyFont="1" applyBorder="1" applyAlignment="1">
      <alignment horizontal="center"/>
    </xf>
    <xf numFmtId="0" fontId="0" fillId="0" borderId="19" xfId="0" applyBorder="1" applyAlignment="1">
      <alignment vertical="center" wrapText="1"/>
    </xf>
    <xf numFmtId="3" fontId="0" fillId="36" borderId="0" xfId="0" applyNumberFormat="1" applyFill="1" applyBorder="1" applyAlignment="1">
      <alignment vertical="center" wrapText="1"/>
    </xf>
    <xf numFmtId="0" fontId="0" fillId="35" borderId="0" xfId="0" applyFill="1" applyBorder="1" applyAlignment="1">
      <alignment vertical="center"/>
    </xf>
    <xf numFmtId="0" fontId="34" fillId="33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vertical="center" wrapText="1"/>
    </xf>
    <xf numFmtId="10" fontId="1" fillId="0" borderId="0" xfId="2" applyNumberFormat="1" applyFont="1" applyFill="1" applyBorder="1" applyAlignment="1">
      <alignment horizontal="center"/>
    </xf>
    <xf numFmtId="3" fontId="0" fillId="0" borderId="26" xfId="0" applyNumberFormat="1" applyBorder="1"/>
    <xf numFmtId="177" fontId="0" fillId="0" borderId="0" xfId="2" applyNumberFormat="1" applyFont="1" applyBorder="1" applyAlignment="1">
      <alignment horizontal="center"/>
    </xf>
    <xf numFmtId="169" fontId="0" fillId="0" borderId="0" xfId="2" applyNumberFormat="1" applyFont="1" applyBorder="1" applyAlignment="1">
      <alignment horizontal="center"/>
    </xf>
    <xf numFmtId="3" fontId="0" fillId="36" borderId="20" xfId="0" applyNumberFormat="1" applyFill="1" applyBorder="1" applyAlignment="1">
      <alignment vertical="center" wrapText="1"/>
    </xf>
    <xf numFmtId="3" fontId="0" fillId="0" borderId="20" xfId="0" applyNumberFormat="1" applyBorder="1"/>
    <xf numFmtId="175" fontId="0" fillId="0" borderId="0" xfId="1" applyNumberFormat="1" applyFont="1" applyFill="1" applyBorder="1"/>
    <xf numFmtId="0" fontId="0" fillId="33" borderId="0" xfId="0" applyFill="1" applyAlignment="1">
      <alignment vertical="center"/>
    </xf>
    <xf numFmtId="0" fontId="0" fillId="33" borderId="0" xfId="0" applyFill="1" applyBorder="1" applyAlignment="1">
      <alignment vertical="center"/>
    </xf>
    <xf numFmtId="3" fontId="0" fillId="33" borderId="0" xfId="0" applyNumberFormat="1" applyFill="1" applyBorder="1" applyAlignment="1">
      <alignment vertical="center" wrapText="1"/>
    </xf>
    <xf numFmtId="0" fontId="0" fillId="33" borderId="0" xfId="0" applyFill="1" applyBorder="1" applyAlignment="1">
      <alignment vertical="center" wrapText="1"/>
    </xf>
    <xf numFmtId="0" fontId="0" fillId="33" borderId="0" xfId="0" applyFont="1" applyFill="1" applyBorder="1" applyAlignment="1">
      <alignment vertical="center" wrapText="1"/>
    </xf>
    <xf numFmtId="0" fontId="0" fillId="46" borderId="0" xfId="0" applyFill="1" applyBorder="1" applyAlignment="1">
      <alignment vertical="center" wrapText="1"/>
    </xf>
    <xf numFmtId="0" fontId="18" fillId="41" borderId="10" xfId="45" applyFill="1" applyBorder="1" applyAlignment="1">
      <alignment wrapText="1"/>
    </xf>
    <xf numFmtId="0" fontId="18" fillId="41" borderId="10" xfId="45" applyFill="1" applyBorder="1"/>
    <xf numFmtId="0" fontId="18" fillId="41" borderId="10" xfId="45" applyFont="1" applyFill="1" applyBorder="1"/>
    <xf numFmtId="3" fontId="0" fillId="0" borderId="0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3" fontId="0" fillId="41" borderId="0" xfId="2" applyNumberFormat="1" applyFont="1" applyFill="1" applyBorder="1" applyAlignment="1">
      <alignment horizontal="center"/>
    </xf>
    <xf numFmtId="10" fontId="1" fillId="41" borderId="0" xfId="2" applyNumberFormat="1" applyFont="1" applyFill="1" applyBorder="1" applyAlignment="1">
      <alignment horizontal="center"/>
    </xf>
    <xf numFmtId="3" fontId="0" fillId="41" borderId="20" xfId="0" applyNumberFormat="1" applyFill="1" applyBorder="1"/>
    <xf numFmtId="0" fontId="36" fillId="33" borderId="0" xfId="0" applyFont="1" applyFill="1"/>
    <xf numFmtId="165" fontId="0" fillId="0" borderId="0" xfId="2" applyNumberFormat="1" applyFont="1" applyFill="1" applyBorder="1"/>
    <xf numFmtId="176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178" fontId="0" fillId="0" borderId="19" xfId="1" applyNumberFormat="1" applyFont="1" applyFill="1" applyBorder="1" applyAlignment="1"/>
    <xf numFmtId="177" fontId="0" fillId="0" borderId="0" xfId="0" applyNumberFormat="1" applyFill="1" applyBorder="1"/>
    <xf numFmtId="177" fontId="0" fillId="0" borderId="0" xfId="0" applyNumberFormat="1" applyBorder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top" wrapText="1"/>
    </xf>
    <xf numFmtId="0" fontId="14" fillId="33" borderId="0" xfId="0" applyFont="1" applyFill="1" applyAlignment="1">
      <alignment horizontal="center"/>
    </xf>
    <xf numFmtId="43" fontId="0" fillId="33" borderId="0" xfId="1" applyFont="1" applyFill="1" applyBorder="1"/>
    <xf numFmtId="3" fontId="0" fillId="33" borderId="0" xfId="0" applyNumberFormat="1" applyFill="1"/>
    <xf numFmtId="43" fontId="0" fillId="33" borderId="0" xfId="1" applyFont="1" applyFill="1"/>
    <xf numFmtId="43" fontId="0" fillId="33" borderId="0" xfId="0" applyNumberFormat="1" applyFill="1"/>
    <xf numFmtId="3" fontId="0" fillId="44" borderId="20" xfId="0" applyNumberFormat="1" applyFill="1" applyBorder="1" applyAlignment="1">
      <alignment horizontal="center"/>
    </xf>
    <xf numFmtId="3" fontId="0" fillId="44" borderId="23" xfId="0" applyNumberFormat="1" applyFill="1" applyBorder="1" applyAlignment="1">
      <alignment horizontal="center"/>
    </xf>
    <xf numFmtId="0" fontId="30" fillId="41" borderId="0" xfId="0" applyFont="1" applyFill="1" applyAlignment="1">
      <alignment horizontal="left"/>
    </xf>
    <xf numFmtId="179" fontId="37" fillId="33" borderId="0" xfId="2" applyNumberFormat="1" applyFont="1" applyFill="1" applyBorder="1" applyAlignment="1">
      <alignment horizontal="right"/>
    </xf>
    <xf numFmtId="3" fontId="16" fillId="39" borderId="27" xfId="0" applyNumberFormat="1" applyFont="1" applyFill="1" applyBorder="1" applyAlignment="1">
      <alignment horizontal="center" vertical="center" wrapText="1"/>
    </xf>
    <xf numFmtId="3" fontId="16" fillId="47" borderId="27" xfId="0" applyNumberFormat="1" applyFont="1" applyFill="1" applyBorder="1" applyAlignment="1">
      <alignment horizontal="center" vertical="center" wrapText="1"/>
    </xf>
    <xf numFmtId="43" fontId="0" fillId="0" borderId="0" xfId="1" applyNumberFormat="1" applyFont="1" applyFill="1" applyBorder="1"/>
    <xf numFmtId="4" fontId="0" fillId="0" borderId="0" xfId="0" applyNumberFormat="1" applyFill="1" applyBorder="1"/>
    <xf numFmtId="4" fontId="0" fillId="33" borderId="0" xfId="0" applyNumberFormat="1" applyFill="1" applyBorder="1" applyAlignment="1">
      <alignment horizontal="center"/>
    </xf>
    <xf numFmtId="164" fontId="0" fillId="41" borderId="0" xfId="1" applyNumberFormat="1" applyFont="1" applyFill="1" applyBorder="1"/>
    <xf numFmtId="0" fontId="36" fillId="33" borderId="0" xfId="0" applyFont="1" applyFill="1" applyAlignment="1">
      <alignment horizontal="left"/>
    </xf>
    <xf numFmtId="3" fontId="38" fillId="33" borderId="0" xfId="2" applyNumberFormat="1" applyFont="1" applyFill="1" applyBorder="1" applyAlignment="1">
      <alignment horizontal="right"/>
    </xf>
    <xf numFmtId="170" fontId="39" fillId="33" borderId="0" xfId="2" applyNumberFormat="1" applyFont="1" applyFill="1" applyBorder="1" applyAlignment="1">
      <alignment wrapText="1"/>
    </xf>
    <xf numFmtId="0" fontId="22" fillId="33" borderId="11" xfId="44" applyFont="1" applyFill="1" applyBorder="1" applyAlignment="1">
      <alignment horizontal="center" vertical="center" wrapText="1"/>
    </xf>
    <xf numFmtId="0" fontId="22" fillId="33" borderId="12" xfId="44" applyFont="1" applyFill="1" applyBorder="1" applyAlignment="1">
      <alignment horizontal="center" vertical="center" wrapText="1"/>
    </xf>
    <xf numFmtId="0" fontId="22" fillId="33" borderId="13" xfId="44" applyFont="1" applyFill="1" applyBorder="1" applyAlignment="1">
      <alignment horizontal="center" vertical="center" wrapText="1"/>
    </xf>
    <xf numFmtId="0" fontId="22" fillId="33" borderId="14" xfId="44" applyFont="1" applyFill="1" applyBorder="1" applyAlignment="1">
      <alignment horizontal="center" vertical="center" wrapText="1"/>
    </xf>
    <xf numFmtId="0" fontId="22" fillId="33" borderId="0" xfId="44" applyFont="1" applyFill="1" applyBorder="1" applyAlignment="1">
      <alignment horizontal="center" vertical="center" wrapText="1"/>
    </xf>
    <xf numFmtId="0" fontId="22" fillId="33" borderId="15" xfId="44" applyFont="1" applyFill="1" applyBorder="1" applyAlignment="1">
      <alignment horizontal="center" vertical="center" wrapText="1"/>
    </xf>
    <xf numFmtId="0" fontId="22" fillId="33" borderId="16" xfId="44" applyFont="1" applyFill="1" applyBorder="1" applyAlignment="1">
      <alignment horizontal="center" vertical="center" wrapText="1"/>
    </xf>
    <xf numFmtId="0" fontId="22" fillId="33" borderId="17" xfId="44" applyFont="1" applyFill="1" applyBorder="1" applyAlignment="1">
      <alignment horizontal="center" vertical="center" wrapText="1"/>
    </xf>
    <xf numFmtId="0" fontId="22" fillId="33" borderId="18" xfId="44" applyFont="1" applyFill="1" applyBorder="1" applyAlignment="1">
      <alignment horizontal="center" vertical="center" wrapText="1"/>
    </xf>
    <xf numFmtId="0" fontId="28" fillId="37" borderId="29" xfId="0" applyFont="1" applyFill="1" applyBorder="1" applyAlignment="1">
      <alignment horizontal="center" vertical="center"/>
    </xf>
    <xf numFmtId="0" fontId="28" fillId="37" borderId="35" xfId="0" applyFont="1" applyFill="1" applyBorder="1" applyAlignment="1">
      <alignment horizontal="center" vertical="center"/>
    </xf>
    <xf numFmtId="0" fontId="28" fillId="37" borderId="28" xfId="0" applyFont="1" applyFill="1" applyBorder="1" applyAlignment="1">
      <alignment horizontal="center" vertical="center"/>
    </xf>
    <xf numFmtId="0" fontId="28" fillId="37" borderId="24" xfId="0" applyFont="1" applyFill="1" applyBorder="1" applyAlignment="1">
      <alignment horizontal="center" vertical="center"/>
    </xf>
    <xf numFmtId="0" fontId="28" fillId="37" borderId="30" xfId="0" applyFont="1" applyFill="1" applyBorder="1" applyAlignment="1">
      <alignment horizontal="center" vertical="center"/>
    </xf>
    <xf numFmtId="0" fontId="28" fillId="37" borderId="31" xfId="0" applyFont="1" applyFill="1" applyBorder="1" applyAlignment="1">
      <alignment horizontal="center" vertical="center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44" xr:uid="{00000000-0005-0000-0000-000026000000}"/>
    <cellStyle name="Normal 2" xfId="45" xr:uid="{00000000-0005-0000-0000-000027000000}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56">
    <dxf>
      <font>
        <strike/>
        <color rgb="FFFF0000"/>
      </font>
      <fill>
        <patternFill patternType="none">
          <bgColor auto="1"/>
        </patternFill>
      </fill>
    </dxf>
    <dxf>
      <font>
        <strike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strike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color auto="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BF7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Exposure profiles</a:t>
            </a:r>
          </a:p>
        </c:rich>
      </c:tx>
      <c:layout>
        <c:manualLayout>
          <c:xMode val="edge"/>
          <c:yMode val="edge"/>
          <c:x val="0.4039374453193350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Main!$AX$17</c:f>
              <c:strCache>
                <c:ptCount val="1"/>
                <c:pt idx="0">
                  <c:v>EPE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Main!$AX$18:$AX$105</c:f>
              <c:numCache>
                <c:formatCode>#,##0</c:formatCode>
                <c:ptCount val="88"/>
                <c:pt idx="0">
                  <c:v>0</c:v>
                </c:pt>
                <c:pt idx="1">
                  <c:v>15100.877837177846</c:v>
                </c:pt>
                <c:pt idx="2">
                  <c:v>30201.755674355692</c:v>
                </c:pt>
                <c:pt idx="3">
                  <c:v>75504.389185889231</c:v>
                </c:pt>
                <c:pt idx="4">
                  <c:v>90605.267023067077</c:v>
                </c:pt>
                <c:pt idx="5">
                  <c:v>105706.14486024494</c:v>
                </c:pt>
                <c:pt idx="6">
                  <c:v>135907.90053460063</c:v>
                </c:pt>
                <c:pt idx="7">
                  <c:v>241614.04539484554</c:v>
                </c:pt>
                <c:pt idx="8">
                  <c:v>347320.19025509042</c:v>
                </c:pt>
                <c:pt idx="9">
                  <c:v>468127.21295251331</c:v>
                </c:pt>
                <c:pt idx="10">
                  <c:v>455820.67710602627</c:v>
                </c:pt>
                <c:pt idx="11">
                  <c:v>283529.17525520787</c:v>
                </c:pt>
                <c:pt idx="12">
                  <c:v>285122.47144346859</c:v>
                </c:pt>
                <c:pt idx="13">
                  <c:v>297072.19285542407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9-4EF7-A5B2-10558BE1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0384"/>
        <c:axId val="472332936"/>
      </c:lineChart>
      <c:dateAx>
        <c:axId val="47234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2936"/>
        <c:crosses val="autoZero"/>
        <c:auto val="1"/>
        <c:lblOffset val="100"/>
        <c:baseTimeUnit val="days"/>
      </c:dateAx>
      <c:valAx>
        <c:axId val="47233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4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Capital</a:t>
            </a:r>
            <a:r>
              <a:rPr lang="en-GB" b="1" baseline="0"/>
              <a:t> profiles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Main!$AS$17</c:f>
              <c:strCache>
                <c:ptCount val="1"/>
                <c:pt idx="0">
                  <c:v>CvaK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Main!$AS$18:$AS$105</c:f>
              <c:numCache>
                <c:formatCode>#,##0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D-41DE-8A03-D99D1FE7B2FF}"/>
            </c:ext>
          </c:extLst>
        </c:ser>
        <c:ser>
          <c:idx val="1"/>
          <c:order val="1"/>
          <c:tx>
            <c:strRef>
              <c:f>Main!$AQ$17</c:f>
              <c:strCache>
                <c:ptCount val="1"/>
                <c:pt idx="0">
                  <c:v>DefK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Main!$AQ$18:$AQ$105</c:f>
              <c:numCache>
                <c:formatCode>#,##0</c:formatCode>
                <c:ptCount val="88"/>
                <c:pt idx="0">
                  <c:v>74185.561723437204</c:v>
                </c:pt>
                <c:pt idx="1">
                  <c:v>74185.561723437204</c:v>
                </c:pt>
                <c:pt idx="2">
                  <c:v>74185.561723437204</c:v>
                </c:pt>
                <c:pt idx="3">
                  <c:v>74185.561723437204</c:v>
                </c:pt>
                <c:pt idx="4">
                  <c:v>74185.561723437204</c:v>
                </c:pt>
                <c:pt idx="5">
                  <c:v>74185.561723437204</c:v>
                </c:pt>
                <c:pt idx="6">
                  <c:v>74185.561723437204</c:v>
                </c:pt>
                <c:pt idx="7">
                  <c:v>74185.561723437204</c:v>
                </c:pt>
                <c:pt idx="8">
                  <c:v>74185.561723437204</c:v>
                </c:pt>
                <c:pt idx="9">
                  <c:v>74185.561723437204</c:v>
                </c:pt>
                <c:pt idx="10">
                  <c:v>74185.561723437204</c:v>
                </c:pt>
                <c:pt idx="11">
                  <c:v>74185.561723437204</c:v>
                </c:pt>
                <c:pt idx="12">
                  <c:v>74185.561723437204</c:v>
                </c:pt>
                <c:pt idx="13">
                  <c:v>74185.561723437204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8D-41DE-8A03-D99D1FE7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31368"/>
        <c:axId val="472335680"/>
      </c:lineChart>
      <c:dateAx>
        <c:axId val="472331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5680"/>
        <c:crosses val="autoZero"/>
        <c:auto val="1"/>
        <c:lblOffset val="100"/>
        <c:baseTimeUnit val="days"/>
      </c:dateAx>
      <c:valAx>
        <c:axId val="4723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Default</a:t>
            </a:r>
            <a:r>
              <a:rPr lang="en-GB" b="1" baseline="0"/>
              <a:t> </a:t>
            </a:r>
            <a:r>
              <a:rPr lang="en-GB" b="1"/>
              <a:t>Probabilities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Main!$AN$17</c:f>
              <c:strCache>
                <c:ptCount val="1"/>
                <c:pt idx="0">
                  <c:v>DProba 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Main!$AN$18:$AN$105</c:f>
              <c:numCache>
                <c:formatCode>0.000%</c:formatCode>
                <c:ptCount val="88"/>
                <c:pt idx="0">
                  <c:v>0</c:v>
                </c:pt>
                <c:pt idx="1">
                  <c:v>1.4103553587219153E-6</c:v>
                </c:pt>
                <c:pt idx="2">
                  <c:v>2.8207087283682597E-6</c:v>
                </c:pt>
                <c:pt idx="3">
                  <c:v>7.0517569028538674E-6</c:v>
                </c:pt>
                <c:pt idx="4">
                  <c:v>8.4621023160869058E-6</c:v>
                </c:pt>
                <c:pt idx="5">
                  <c:v>9.8724457402443733E-6</c:v>
                </c:pt>
                <c:pt idx="6">
                  <c:v>1.2693126621443618E-5</c:v>
                </c:pt>
                <c:pt idx="7">
                  <c:v>2.2565447049482934E-5</c:v>
                </c:pt>
                <c:pt idx="8">
                  <c:v>3.2437670013596431E-5</c:v>
                </c:pt>
                <c:pt idx="9">
                  <c:v>4.3720091201682187E-5</c:v>
                </c:pt>
                <c:pt idx="10">
                  <c:v>4.6540676608475273E-5</c:v>
                </c:pt>
                <c:pt idx="11">
                  <c:v>8.6028036928365026E-5</c:v>
                </c:pt>
                <c:pt idx="12">
                  <c:v>8.8848502996730083E-5</c:v>
                </c:pt>
                <c:pt idx="13">
                  <c:v>1.1000174492281634E-4</c:v>
                </c:pt>
                <c:pt idx="14">
                  <c:v>1.1141194514008301E-4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1-4C0B-829E-23397740EE49}"/>
            </c:ext>
          </c:extLst>
        </c:ser>
        <c:ser>
          <c:idx val="1"/>
          <c:order val="1"/>
          <c:tx>
            <c:strRef>
              <c:f>Main!$AK$17</c:f>
              <c:strCache>
                <c:ptCount val="1"/>
                <c:pt idx="0">
                  <c:v>DProba CP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Main!$AK$18:$AK$105</c:f>
              <c:numCache>
                <c:formatCode>0.000%</c:formatCode>
                <c:ptCount val="88"/>
                <c:pt idx="0">
                  <c:v>0</c:v>
                </c:pt>
                <c:pt idx="1">
                  <c:v>6.5806061678386207E-5</c:v>
                </c:pt>
                <c:pt idx="2">
                  <c:v>1.3160779291898628E-4</c:v>
                </c:pt>
                <c:pt idx="3">
                  <c:v>3.2898700686390114E-4</c:v>
                </c:pt>
                <c:pt idx="4">
                  <c:v>3.947714192029661E-4</c:v>
                </c:pt>
                <c:pt idx="5">
                  <c:v>4.6055150252899413E-4</c:v>
                </c:pt>
                <c:pt idx="6">
                  <c:v>5.9209868328125026E-4</c:v>
                </c:pt>
                <c:pt idx="7">
                  <c:v>1.0523774938719921E-3</c:v>
                </c:pt>
                <c:pt idx="8">
                  <c:v>1.5124443223649697E-3</c:v>
                </c:pt>
                <c:pt idx="9">
                  <c:v>2.0379755388200138E-3</c:v>
                </c:pt>
                <c:pt idx="10">
                  <c:v>2.1693151182762271E-3</c:v>
                </c:pt>
                <c:pt idx="11">
                  <c:v>4.0062553075486118E-3</c:v>
                </c:pt>
                <c:pt idx="12">
                  <c:v>4.1373358460486953E-3</c:v>
                </c:pt>
                <c:pt idx="13">
                  <c:v>5.1198901589208923E-3</c:v>
                </c:pt>
                <c:pt idx="14">
                  <c:v>5.1853593007916698E-3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11-4C0B-829E-23397740E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3520"/>
        <c:axId val="472330976"/>
      </c:lineChart>
      <c:dateAx>
        <c:axId val="47234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0976"/>
        <c:crosses val="autoZero"/>
        <c:auto val="1"/>
        <c:lblOffset val="100"/>
        <c:baseTimeUnit val="days"/>
      </c:dateAx>
      <c:valAx>
        <c:axId val="4723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4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LGD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Main!$AI$17</c:f>
              <c:strCache>
                <c:ptCount val="1"/>
                <c:pt idx="0">
                  <c:v>LGD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Main!$AI$18:$AI$105</c:f>
              <c:numCache>
                <c:formatCode>0.00%</c:formatCode>
                <c:ptCount val="88"/>
                <c:pt idx="0">
                  <c:v>0.59119999999999995</c:v>
                </c:pt>
                <c:pt idx="1">
                  <c:v>0.59119999999999995</c:v>
                </c:pt>
                <c:pt idx="2">
                  <c:v>0.59119999999999995</c:v>
                </c:pt>
                <c:pt idx="3">
                  <c:v>0.59119999999999995</c:v>
                </c:pt>
                <c:pt idx="4">
                  <c:v>0.59119999999999995</c:v>
                </c:pt>
                <c:pt idx="5">
                  <c:v>0.59119999999999995</c:v>
                </c:pt>
                <c:pt idx="6">
                  <c:v>0.59119999999999995</c:v>
                </c:pt>
                <c:pt idx="7">
                  <c:v>0.59119999999999995</c:v>
                </c:pt>
                <c:pt idx="8">
                  <c:v>0.59119999999999995</c:v>
                </c:pt>
                <c:pt idx="9">
                  <c:v>0.59119999999999995</c:v>
                </c:pt>
                <c:pt idx="10">
                  <c:v>0.59119999999999995</c:v>
                </c:pt>
                <c:pt idx="11">
                  <c:v>0.59119999999999995</c:v>
                </c:pt>
                <c:pt idx="12">
                  <c:v>0.59119999999999995</c:v>
                </c:pt>
                <c:pt idx="13">
                  <c:v>0.59119999999999995</c:v>
                </c:pt>
                <c:pt idx="14">
                  <c:v>0.59119999999999995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8-4C65-A13D-68D2F3E3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39992"/>
        <c:axId val="472335288"/>
      </c:lineChart>
      <c:dateAx>
        <c:axId val="472339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5288"/>
        <c:crosses val="autoZero"/>
        <c:auto val="1"/>
        <c:lblOffset val="100"/>
        <c:baseTimeUnit val="days"/>
      </c:dateAx>
      <c:valAx>
        <c:axId val="47233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FTP</a:t>
            </a:r>
            <a:r>
              <a:rPr lang="en-GB" b="1" baseline="0"/>
              <a:t> spreads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Main!$AU$17</c:f>
              <c:strCache>
                <c:ptCount val="1"/>
                <c:pt idx="0">
                  <c:v>FTP spread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44488</c:v>
                </c:pt>
                <c:pt idx="4">
                  <c:v>44489</c:v>
                </c:pt>
                <c:pt idx="5">
                  <c:v>44490</c:v>
                </c:pt>
                <c:pt idx="6">
                  <c:v>44492</c:v>
                </c:pt>
                <c:pt idx="7">
                  <c:v>44499</c:v>
                </c:pt>
                <c:pt idx="8">
                  <c:v>44506</c:v>
                </c:pt>
                <c:pt idx="9">
                  <c:v>44514</c:v>
                </c:pt>
                <c:pt idx="10">
                  <c:v>44516</c:v>
                </c:pt>
                <c:pt idx="11">
                  <c:v>44544</c:v>
                </c:pt>
                <c:pt idx="12">
                  <c:v>44546</c:v>
                </c:pt>
                <c:pt idx="13">
                  <c:v>44561</c:v>
                </c:pt>
                <c:pt idx="14">
                  <c:v>44562</c:v>
                </c:pt>
              </c:numCache>
            </c:numRef>
          </c:cat>
          <c:val>
            <c:numRef>
              <c:f>Main!$AU$18:$AU$105</c:f>
              <c:numCache>
                <c:formatCode>#,##0.00</c:formatCode>
                <c:ptCount val="88"/>
                <c:pt idx="0">
                  <c:v>-4.8662225812156485</c:v>
                </c:pt>
                <c:pt idx="1">
                  <c:v>-3.5552630803207736</c:v>
                </c:pt>
                <c:pt idx="2">
                  <c:v>-0.95679582550084119</c:v>
                </c:pt>
                <c:pt idx="3">
                  <c:v>1.580924709233501</c:v>
                </c:pt>
                <c:pt idx="4">
                  <c:v>2.7979256898212883</c:v>
                </c:pt>
                <c:pt idx="5">
                  <c:v>4.2164033264971854</c:v>
                </c:pt>
                <c:pt idx="6">
                  <c:v>1.623409918842418</c:v>
                </c:pt>
                <c:pt idx="7">
                  <c:v>1.3799693974484057</c:v>
                </c:pt>
                <c:pt idx="8">
                  <c:v>1.6853968236876187</c:v>
                </c:pt>
                <c:pt idx="9">
                  <c:v>1.9097561248568231</c:v>
                </c:pt>
                <c:pt idx="10">
                  <c:v>2.2816760462223904</c:v>
                </c:pt>
                <c:pt idx="11">
                  <c:v>2.7941968917931641</c:v>
                </c:pt>
                <c:pt idx="12">
                  <c:v>3.3137822852553551</c:v>
                </c:pt>
                <c:pt idx="13">
                  <c:v>3.6326199141851512</c:v>
                </c:pt>
                <c:pt idx="14">
                  <c:v>3.6326199141851512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98-4595-AF3B-4A505007D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5088"/>
        <c:axId val="472333720"/>
      </c:lineChart>
      <c:dateAx>
        <c:axId val="472345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33720"/>
        <c:crosses val="autoZero"/>
        <c:auto val="1"/>
        <c:lblOffset val="100"/>
        <c:baseTimeUnit val="days"/>
      </c:dateAx>
      <c:valAx>
        <c:axId val="4723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7234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2.xml"/><Relationship Id="rId7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2</xdr:row>
      <xdr:rowOff>47625</xdr:rowOff>
    </xdr:from>
    <xdr:to>
      <xdr:col>2</xdr:col>
      <xdr:colOff>0</xdr:colOff>
      <xdr:row>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352425"/>
          <a:ext cx="1088652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238124</xdr:colOff>
      <xdr:row>2</xdr:row>
      <xdr:rowOff>47625</xdr:rowOff>
    </xdr:from>
    <xdr:to>
      <xdr:col>2</xdr:col>
      <xdr:colOff>582706</xdr:colOff>
      <xdr:row>4</xdr:row>
      <xdr:rowOff>57150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5948" y="361390"/>
          <a:ext cx="949699" cy="323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33618</xdr:colOff>
      <xdr:row>9</xdr:row>
      <xdr:rowOff>14567</xdr:rowOff>
    </xdr:from>
    <xdr:to>
      <xdr:col>42</xdr:col>
      <xdr:colOff>809626</xdr:colOff>
      <xdr:row>10</xdr:row>
      <xdr:rowOff>93009</xdr:rowOff>
    </xdr:to>
    <xdr:sp macro="[0]!Calculate_Default_Capîtal_Cos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170843" y="1386167"/>
          <a:ext cx="776008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DefK</a:t>
          </a:r>
        </a:p>
      </xdr:txBody>
    </xdr:sp>
    <xdr:clientData/>
  </xdr:twoCellAnchor>
  <xdr:twoCellAnchor>
    <xdr:from>
      <xdr:col>29</xdr:col>
      <xdr:colOff>44823</xdr:colOff>
      <xdr:row>9</xdr:row>
      <xdr:rowOff>11205</xdr:rowOff>
    </xdr:from>
    <xdr:to>
      <xdr:col>30</xdr:col>
      <xdr:colOff>22411</xdr:colOff>
      <xdr:row>10</xdr:row>
      <xdr:rowOff>100853</xdr:rowOff>
    </xdr:to>
    <xdr:sp macro="[0]!interpolat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492882" y="1423146"/>
          <a:ext cx="997323" cy="2801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Interpolate</a:t>
          </a:r>
        </a:p>
      </xdr:txBody>
    </xdr:sp>
    <xdr:clientData/>
  </xdr:twoCellAnchor>
  <xdr:twoCellAnchor>
    <xdr:from>
      <xdr:col>27</xdr:col>
      <xdr:colOff>590550</xdr:colOff>
      <xdr:row>9</xdr:row>
      <xdr:rowOff>15127</xdr:rowOff>
    </xdr:from>
    <xdr:to>
      <xdr:col>28</xdr:col>
      <xdr:colOff>990600</xdr:colOff>
      <xdr:row>10</xdr:row>
      <xdr:rowOff>105427</xdr:rowOff>
    </xdr:to>
    <xdr:sp macro="[0]!ClearAll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9726275" y="1386727"/>
          <a:ext cx="1009650" cy="2808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Reset</a:t>
          </a:r>
          <a:r>
            <a:rPr lang="en-GB" sz="1100" baseline="0"/>
            <a:t> </a:t>
          </a:r>
          <a:r>
            <a:rPr lang="en-GB" sz="1100"/>
            <a:t>All</a:t>
          </a:r>
        </a:p>
      </xdr:txBody>
    </xdr:sp>
    <xdr:clientData/>
  </xdr:twoCellAnchor>
  <xdr:twoCellAnchor>
    <xdr:from>
      <xdr:col>41</xdr:col>
      <xdr:colOff>67236</xdr:colOff>
      <xdr:row>9</xdr:row>
      <xdr:rowOff>22411</xdr:rowOff>
    </xdr:from>
    <xdr:to>
      <xdr:col>41</xdr:col>
      <xdr:colOff>997324</xdr:colOff>
      <xdr:row>10</xdr:row>
      <xdr:rowOff>100853</xdr:rowOff>
    </xdr:to>
    <xdr:sp macro="[0]!Calculate_Expected_Loss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3487530" y="1120587"/>
          <a:ext cx="930088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EL</a:t>
          </a:r>
        </a:p>
      </xdr:txBody>
    </xdr:sp>
    <xdr:clientData/>
  </xdr:twoCellAnchor>
  <xdr:twoCellAnchor>
    <xdr:from>
      <xdr:col>44</xdr:col>
      <xdr:colOff>0</xdr:colOff>
      <xdr:row>9</xdr:row>
      <xdr:rowOff>22411</xdr:rowOff>
    </xdr:from>
    <xdr:to>
      <xdr:col>44</xdr:col>
      <xdr:colOff>790575</xdr:colOff>
      <xdr:row>10</xdr:row>
      <xdr:rowOff>100853</xdr:rowOff>
    </xdr:to>
    <xdr:sp macro="[0]!Calculate_CVA_Capîtal_Cost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2966025" y="1394011"/>
          <a:ext cx="790575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CvaK</a:t>
          </a:r>
        </a:p>
      </xdr:txBody>
    </xdr:sp>
    <xdr:clientData/>
  </xdr:twoCellAnchor>
  <xdr:twoCellAnchor>
    <xdr:from>
      <xdr:col>19</xdr:col>
      <xdr:colOff>272556</xdr:colOff>
      <xdr:row>58</xdr:row>
      <xdr:rowOff>83947</xdr:rowOff>
    </xdr:from>
    <xdr:to>
      <xdr:col>24</xdr:col>
      <xdr:colOff>179464</xdr:colOff>
      <xdr:row>74</xdr:row>
      <xdr:rowOff>16100</xdr:rowOff>
    </xdr:to>
    <xdr:graphicFrame macro="">
      <xdr:nvGraphicFramePr>
        <xdr:cNvPr id="4" name="Chart_Exposure_Profile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269193</xdr:colOff>
      <xdr:row>42</xdr:row>
      <xdr:rowOff>53130</xdr:rowOff>
    </xdr:from>
    <xdr:to>
      <xdr:col>24</xdr:col>
      <xdr:colOff>138953</xdr:colOff>
      <xdr:row>57</xdr:row>
      <xdr:rowOff>175783</xdr:rowOff>
    </xdr:to>
    <xdr:graphicFrame macro="">
      <xdr:nvGraphicFramePr>
        <xdr:cNvPr id="12" name="Chart_Capital_Profile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970045</xdr:colOff>
      <xdr:row>14</xdr:row>
      <xdr:rowOff>159514</xdr:rowOff>
    </xdr:from>
    <xdr:to>
      <xdr:col>22</xdr:col>
      <xdr:colOff>774838</xdr:colOff>
      <xdr:row>17</xdr:row>
      <xdr:rowOff>117491</xdr:rowOff>
    </xdr:to>
    <xdr:sp macro="[0]!DoAll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6557427" y="2445514"/>
          <a:ext cx="2068382" cy="529477"/>
        </a:xfrm>
        <a:prstGeom prst="flowChartAlternateProcess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>
              <a:solidFill>
                <a:schemeClr val="bg1"/>
              </a:solidFill>
            </a:rPr>
            <a:t>Calculate</a:t>
          </a:r>
        </a:p>
      </xdr:txBody>
    </xdr:sp>
    <xdr:clientData/>
  </xdr:twoCellAnchor>
  <xdr:twoCellAnchor>
    <xdr:from>
      <xdr:col>46</xdr:col>
      <xdr:colOff>0</xdr:colOff>
      <xdr:row>9</xdr:row>
      <xdr:rowOff>22411</xdr:rowOff>
    </xdr:from>
    <xdr:to>
      <xdr:col>46</xdr:col>
      <xdr:colOff>819709</xdr:colOff>
      <xdr:row>10</xdr:row>
      <xdr:rowOff>100853</xdr:rowOff>
    </xdr:to>
    <xdr:sp macro="[0]!Calculate_Funding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6699824" y="1394011"/>
          <a:ext cx="829235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FVA</a:t>
          </a:r>
        </a:p>
      </xdr:txBody>
    </xdr:sp>
    <xdr:clientData/>
  </xdr:twoCellAnchor>
  <xdr:twoCellAnchor>
    <xdr:from>
      <xdr:col>35</xdr:col>
      <xdr:colOff>11207</xdr:colOff>
      <xdr:row>9</xdr:row>
      <xdr:rowOff>7844</xdr:rowOff>
    </xdr:from>
    <xdr:to>
      <xdr:col>35</xdr:col>
      <xdr:colOff>762000</xdr:colOff>
      <xdr:row>10</xdr:row>
      <xdr:rowOff>97492</xdr:rowOff>
    </xdr:to>
    <xdr:sp macro="[0]!Calculate_Survival_Probabilities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6221766" y="1419785"/>
          <a:ext cx="750793" cy="2801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SP</a:t>
          </a:r>
        </a:p>
      </xdr:txBody>
    </xdr:sp>
    <xdr:clientData/>
  </xdr:twoCellAnchor>
  <xdr:twoCellAnchor>
    <xdr:from>
      <xdr:col>19</xdr:col>
      <xdr:colOff>272303</xdr:colOff>
      <xdr:row>75</xdr:row>
      <xdr:rowOff>189943</xdr:rowOff>
    </xdr:from>
    <xdr:to>
      <xdr:col>24</xdr:col>
      <xdr:colOff>161113</xdr:colOff>
      <xdr:row>91</xdr:row>
      <xdr:rowOff>122096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1009650</xdr:colOff>
          <xdr:row>14</xdr:row>
          <xdr:rowOff>28575</xdr:rowOff>
        </xdr:from>
        <xdr:to>
          <xdr:col>42</xdr:col>
          <xdr:colOff>857250</xdr:colOff>
          <xdr:row>15</xdr:row>
          <xdr:rowOff>123825</xdr:rowOff>
        </xdr:to>
        <xdr:sp macro="" textlink="">
          <xdr:nvSpPr>
            <xdr:cNvPr id="1048" name="Check_Box_CustDefK_profi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 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914400</xdr:colOff>
          <xdr:row>14</xdr:row>
          <xdr:rowOff>28575</xdr:rowOff>
        </xdr:from>
        <xdr:to>
          <xdr:col>44</xdr:col>
          <xdr:colOff>866775</xdr:colOff>
          <xdr:row>15</xdr:row>
          <xdr:rowOff>123825</xdr:rowOff>
        </xdr:to>
        <xdr:sp macro="" textlink="">
          <xdr:nvSpPr>
            <xdr:cNvPr id="1049" name="Check_Box_CustCvaK_profil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 profile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272303</xdr:colOff>
      <xdr:row>92</xdr:row>
      <xdr:rowOff>189943</xdr:rowOff>
    </xdr:from>
    <xdr:to>
      <xdr:col>24</xdr:col>
      <xdr:colOff>218263</xdr:colOff>
      <xdr:row>108</xdr:row>
      <xdr:rowOff>122096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998326</xdr:colOff>
      <xdr:row>20</xdr:row>
      <xdr:rowOff>63776</xdr:rowOff>
    </xdr:from>
    <xdr:to>
      <xdr:col>22</xdr:col>
      <xdr:colOff>1650348</xdr:colOff>
      <xdr:row>21</xdr:row>
      <xdr:rowOff>160734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20418120" y="3492776"/>
          <a:ext cx="652022" cy="287458"/>
          <a:chOff x="18412264" y="3349901"/>
          <a:chExt cx="652022" cy="287458"/>
        </a:xfrm>
      </xdr:grpSpPr>
      <xdr:pic macro="[0]!Copy_Results">
        <xdr:nvPicPr>
          <xdr:cNvPr id="14" name="Picture Cop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r="5366"/>
          <a:stretch/>
        </xdr:blipFill>
        <xdr:spPr>
          <a:xfrm>
            <a:off x="18749341" y="3349901"/>
            <a:ext cx="314945" cy="285714"/>
          </a:xfrm>
          <a:prstGeom prst="rect">
            <a:avLst/>
          </a:prstGeom>
          <a:solidFill>
            <a:schemeClr val="bg1"/>
          </a:solidFill>
          <a:ln w="9525" cap="rnd">
            <a:solidFill>
              <a:schemeClr val="bg1">
                <a:lumMod val="75000"/>
              </a:schemeClr>
            </a:solidFill>
          </a:ln>
        </xdr:spPr>
      </xdr:pic>
      <xdr:pic macro="[0]!Hide_Unhide_Details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-4328" b="-11072"/>
          <a:stretch/>
        </xdr:blipFill>
        <xdr:spPr>
          <a:xfrm>
            <a:off x="18412264" y="3351609"/>
            <a:ext cx="323810" cy="285750"/>
          </a:xfrm>
          <a:prstGeom prst="rect">
            <a:avLst/>
          </a:prstGeom>
          <a:solidFill>
            <a:schemeClr val="bg1"/>
          </a:solidFill>
          <a:ln w="9525">
            <a:solidFill>
              <a:schemeClr val="lt1">
                <a:shade val="50000"/>
              </a:schemeClr>
            </a:solidFill>
          </a:ln>
        </xdr:spPr>
      </xdr:pic>
    </xdr:grpSp>
    <xdr:clientData/>
  </xdr:twoCellAnchor>
  <xdr:twoCellAnchor>
    <xdr:from>
      <xdr:col>19</xdr:col>
      <xdr:colOff>268941</xdr:colOff>
      <xdr:row>110</xdr:row>
      <xdr:rowOff>123268</xdr:rowOff>
    </xdr:from>
    <xdr:to>
      <xdr:col>24</xdr:col>
      <xdr:colOff>216022</xdr:colOff>
      <xdr:row>126</xdr:row>
      <xdr:rowOff>55421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459441</xdr:colOff>
      <xdr:row>4</xdr:row>
      <xdr:rowOff>44824</xdr:rowOff>
    </xdr:from>
    <xdr:to>
      <xdr:col>56</xdr:col>
      <xdr:colOff>795619</xdr:colOff>
      <xdr:row>6</xdr:row>
      <xdr:rowOff>11207</xdr:rowOff>
    </xdr:to>
    <xdr:sp macro="[0]!Hide_Unhide_Versions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1829059" y="773206"/>
          <a:ext cx="941295" cy="280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>
              <a:solidFill>
                <a:srgbClr val="7030A0"/>
              </a:solidFill>
            </a:rPr>
            <a:t>version 6.0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Tools\Inception%20Tools\0_Quotes_archive\Kevin%20Pricings\2021-04-14\CIC%20Calculator%20-%20alu%20coll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c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bis.org/publ/bcbs254.pdf" TargetMode="External"/><Relationship Id="rId1" Type="http://schemas.openxmlformats.org/officeDocument/2006/relationships/hyperlink" Target="https://www.bis.org/publ/bcbs279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DP442"/>
  <sheetViews>
    <sheetView tabSelected="1" zoomScale="85" zoomScaleNormal="85" workbookViewId="0">
      <selection activeCell="L18" sqref="L18:M88"/>
    </sheetView>
  </sheetViews>
  <sheetFormatPr defaultColWidth="9.140625" defaultRowHeight="12" customHeight="1" outlineLevelRow="1" outlineLevelCol="1" x14ac:dyDescent="0.25"/>
  <cols>
    <col min="1" max="1" width="4.85546875" style="3" customWidth="1"/>
    <col min="2" max="2" width="9.140625" style="3" customWidth="1"/>
    <col min="3" max="3" width="9.28515625" style="8" customWidth="1"/>
    <col min="4" max="4" width="33.85546875" style="7" customWidth="1"/>
    <col min="5" max="5" width="25.85546875" style="8" customWidth="1"/>
    <col min="6" max="6" width="8.7109375" style="3" customWidth="1"/>
    <col min="7" max="9" width="15.28515625" style="3" customWidth="1"/>
    <col min="10" max="10" width="18.5703125" style="3" bestFit="1" customWidth="1"/>
    <col min="11" max="11" width="10.28515625" style="3" customWidth="1"/>
    <col min="12" max="13" width="11.85546875" style="3" customWidth="1"/>
    <col min="14" max="14" width="10.28515625" style="3" customWidth="1"/>
    <col min="15" max="16" width="11.85546875" style="3" customWidth="1"/>
    <col min="17" max="17" width="9.140625" style="3" customWidth="1"/>
    <col min="18" max="18" width="9.28515625" style="3" customWidth="1"/>
    <col min="19" max="19" width="4.140625" style="3" customWidth="1"/>
    <col min="20" max="20" width="5.42578125" style="3" customWidth="1"/>
    <col min="21" max="21" width="5" style="3" customWidth="1"/>
    <col min="22" max="22" width="34" style="3" customWidth="1"/>
    <col min="23" max="23" width="25.5703125" style="3" customWidth="1"/>
    <col min="24" max="24" width="2.85546875" style="3" customWidth="1"/>
    <col min="25" max="25" width="8.140625" style="3" bestFit="1" customWidth="1"/>
    <col min="26" max="26" width="2.42578125" style="3" customWidth="1"/>
    <col min="27" max="27" width="9.140625" style="3" customWidth="1"/>
    <col min="28" max="28" width="9.140625" style="3" hidden="1" customWidth="1" outlineLevel="1"/>
    <col min="29" max="35" width="13.140625" style="3" hidden="1" customWidth="1" outlineLevel="1"/>
    <col min="36" max="38" width="12.140625" style="3" hidden="1" customWidth="1" outlineLevel="1"/>
    <col min="39" max="40" width="13.85546875" style="3" hidden="1" customWidth="1" outlineLevel="1"/>
    <col min="41" max="41" width="12.140625" style="3" hidden="1" customWidth="1" outlineLevel="1"/>
    <col min="42" max="42" width="15.28515625" style="3" hidden="1" customWidth="1" outlineLevel="1"/>
    <col min="43" max="46" width="13.7109375" style="3" hidden="1" customWidth="1" outlineLevel="1"/>
    <col min="47" max="47" width="12.85546875" style="3" hidden="1" customWidth="1" outlineLevel="1"/>
    <col min="48" max="53" width="14.7109375" style="3" hidden="1" customWidth="1" outlineLevel="1"/>
    <col min="54" max="54" width="18.85546875" style="3" hidden="1" customWidth="1" outlineLevel="1"/>
    <col min="55" max="55" width="15.28515625" style="3" hidden="1" customWidth="1" outlineLevel="1"/>
    <col min="56" max="56" width="9.140625" style="3" hidden="1" customWidth="1" outlineLevel="1"/>
    <col min="57" max="57" width="12.28515625" style="3" bestFit="1" customWidth="1" collapsed="1"/>
    <col min="58" max="16384" width="9.140625" style="3"/>
  </cols>
  <sheetData>
    <row r="1" spans="1:120" ht="20.25" customHeight="1" thickBot="1" x14ac:dyDescent="0.3">
      <c r="A1" s="2"/>
      <c r="B1" s="6"/>
      <c r="C1" s="6"/>
      <c r="D1" s="6"/>
      <c r="E1" s="6"/>
      <c r="F1" s="6"/>
      <c r="G1" s="6"/>
      <c r="H1" s="6"/>
      <c r="I1" s="6"/>
      <c r="J1" s="214"/>
      <c r="K1" s="6"/>
      <c r="L1" s="26"/>
      <c r="M1" s="26"/>
      <c r="N1" s="126"/>
      <c r="O1" s="126"/>
      <c r="P1" s="126"/>
      <c r="Q1" s="43"/>
      <c r="R1" s="26"/>
      <c r="S1" s="36"/>
      <c r="T1" s="43"/>
      <c r="U1" s="43"/>
      <c r="V1" s="36"/>
      <c r="W1" s="36"/>
      <c r="X1" s="43"/>
      <c r="Y1" s="43"/>
      <c r="Z1" s="36"/>
      <c r="AA1" s="36"/>
      <c r="AB1" s="43"/>
      <c r="AC1" s="26"/>
      <c r="AD1" s="26"/>
      <c r="AE1" s="26"/>
      <c r="AF1" s="26"/>
      <c r="AG1" s="126"/>
      <c r="AH1" s="126"/>
      <c r="AI1" s="200"/>
      <c r="AJ1" s="44"/>
      <c r="AK1" s="162"/>
      <c r="AL1" s="44"/>
      <c r="AM1" s="44"/>
      <c r="AN1" s="162"/>
      <c r="AO1" s="44"/>
      <c r="AP1" s="36"/>
      <c r="AQ1" s="26"/>
      <c r="AR1" s="26"/>
      <c r="AS1" s="26"/>
      <c r="AT1" s="26"/>
      <c r="AU1" s="126"/>
      <c r="AV1" s="36"/>
      <c r="AW1" s="36"/>
      <c r="AX1" s="183"/>
      <c r="AY1" s="183"/>
      <c r="AZ1" s="44"/>
      <c r="BA1" s="44"/>
      <c r="BB1" s="214"/>
      <c r="BC1" s="36"/>
      <c r="BD1" s="6"/>
      <c r="BE1" s="6"/>
      <c r="BF1" s="25"/>
      <c r="BG1" s="4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ht="12" customHeight="1" x14ac:dyDescent="0.25">
      <c r="A2" s="2"/>
      <c r="B2" s="284" t="s">
        <v>3264</v>
      </c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85"/>
      <c r="AA2" s="285"/>
      <c r="AB2" s="285"/>
      <c r="AC2" s="285"/>
      <c r="AD2" s="285"/>
      <c r="AE2" s="285"/>
      <c r="AF2" s="285"/>
      <c r="AG2" s="285"/>
      <c r="AH2" s="285"/>
      <c r="AI2" s="285"/>
      <c r="AJ2" s="285"/>
      <c r="AK2" s="285"/>
      <c r="AL2" s="285"/>
      <c r="AM2" s="285"/>
      <c r="AN2" s="285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  <c r="BD2" s="285"/>
      <c r="BE2" s="286"/>
      <c r="BF2" s="24"/>
      <c r="BG2" s="25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</row>
    <row r="3" spans="1:120" ht="12" customHeight="1" x14ac:dyDescent="0.25">
      <c r="A3" s="2"/>
      <c r="B3" s="287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9"/>
      <c r="BF3" s="24"/>
      <c r="BG3" s="25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</row>
    <row r="4" spans="1:120" ht="12" customHeight="1" x14ac:dyDescent="0.25">
      <c r="A4" s="2"/>
      <c r="B4" s="287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9"/>
      <c r="BF4" s="24"/>
      <c r="BG4" s="25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</row>
    <row r="5" spans="1:120" ht="12" customHeight="1" x14ac:dyDescent="0.25">
      <c r="A5" s="2"/>
      <c r="B5" s="287"/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8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9"/>
      <c r="BF5" s="24"/>
      <c r="BG5" s="25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</row>
    <row r="6" spans="1:120" ht="12" customHeight="1" thickBot="1" x14ac:dyDescent="0.3">
      <c r="A6" s="2"/>
      <c r="B6" s="290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1"/>
      <c r="AM6" s="291"/>
      <c r="AN6" s="291"/>
      <c r="AO6" s="291"/>
      <c r="AP6" s="291"/>
      <c r="AQ6" s="291"/>
      <c r="AR6" s="291"/>
      <c r="AS6" s="291"/>
      <c r="AT6" s="291"/>
      <c r="AU6" s="291"/>
      <c r="AV6" s="291"/>
      <c r="AW6" s="291"/>
      <c r="AX6" s="291"/>
      <c r="AY6" s="291"/>
      <c r="AZ6" s="291"/>
      <c r="BA6" s="291"/>
      <c r="BB6" s="291"/>
      <c r="BC6" s="291"/>
      <c r="BD6" s="291"/>
      <c r="BE6" s="292"/>
      <c r="BF6" s="24"/>
      <c r="BG6" s="25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</row>
    <row r="7" spans="1:120" ht="12" customHeight="1" x14ac:dyDescent="0.25">
      <c r="A7" s="1"/>
      <c r="B7" s="1"/>
      <c r="C7" s="9"/>
      <c r="D7" s="1"/>
      <c r="E7" s="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266"/>
      <c r="BF7" s="23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</row>
    <row r="8" spans="1:120" ht="12" customHeight="1" x14ac:dyDescent="0.25">
      <c r="A8" s="1"/>
      <c r="B8" s="1"/>
      <c r="C8" s="9"/>
      <c r="D8" s="1"/>
      <c r="E8" s="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23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</row>
    <row r="9" spans="1:120" ht="12" customHeight="1" x14ac:dyDescent="0.25">
      <c r="A9" s="1"/>
      <c r="B9" s="1"/>
      <c r="C9" s="9"/>
      <c r="D9" s="1"/>
      <c r="E9" s="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23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</row>
    <row r="10" spans="1:120" ht="15" hidden="1" outlineLevel="1" x14ac:dyDescent="0.25">
      <c r="A10" s="1"/>
      <c r="B10" s="1"/>
      <c r="C10" s="9"/>
      <c r="D10" s="1"/>
      <c r="E10" s="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</row>
    <row r="11" spans="1:120" ht="15" hidden="1" outlineLevel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</row>
    <row r="12" spans="1:120" ht="30.75" customHeight="1" collapsed="1" x14ac:dyDescent="0.25">
      <c r="A12" s="1"/>
      <c r="B12" s="1"/>
      <c r="C12" s="293" t="s">
        <v>2658</v>
      </c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4"/>
      <c r="Q12" s="295"/>
      <c r="R12" s="1"/>
      <c r="S12" s="296" t="s">
        <v>2659</v>
      </c>
      <c r="T12" s="297"/>
      <c r="U12" s="297"/>
      <c r="V12" s="297"/>
      <c r="W12" s="297"/>
      <c r="X12" s="297"/>
      <c r="Y12" s="297"/>
      <c r="Z12" s="298"/>
      <c r="AA12" s="1"/>
      <c r="AB12" s="293" t="s">
        <v>2912</v>
      </c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5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</row>
    <row r="13" spans="1:120" ht="15" x14ac:dyDescent="0.25">
      <c r="A13" s="1"/>
      <c r="B13" s="1"/>
      <c r="C13" s="52"/>
      <c r="D13" s="23"/>
      <c r="E13" s="86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83"/>
      <c r="R13" s="1"/>
      <c r="S13" s="45"/>
      <c r="T13" s="23"/>
      <c r="U13" s="23"/>
      <c r="V13" s="23"/>
      <c r="W13" s="23"/>
      <c r="X13" s="23"/>
      <c r="Y13" s="23"/>
      <c r="Z13" s="83"/>
      <c r="AA13" s="1"/>
      <c r="AB13" s="45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158"/>
      <c r="AN13" s="158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83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</row>
    <row r="14" spans="1:120" ht="15" x14ac:dyDescent="0.25">
      <c r="A14" s="1"/>
      <c r="B14" s="1"/>
      <c r="C14" s="52"/>
      <c r="D14" s="23"/>
      <c r="E14" s="86"/>
      <c r="F14" s="23"/>
      <c r="G14" s="88"/>
      <c r="H14" s="23"/>
      <c r="I14" s="23"/>
      <c r="J14" s="23"/>
      <c r="K14" s="23"/>
      <c r="L14" s="23"/>
      <c r="M14" s="23"/>
      <c r="N14" s="23"/>
      <c r="O14" s="23"/>
      <c r="P14" s="23"/>
      <c r="Q14" s="83"/>
      <c r="R14" s="1"/>
      <c r="S14" s="45"/>
      <c r="T14" s="23"/>
      <c r="U14" s="23"/>
      <c r="V14" s="136"/>
      <c r="W14" s="23"/>
      <c r="X14" s="23"/>
      <c r="Y14" s="23"/>
      <c r="Z14" s="83"/>
      <c r="AA14" s="1"/>
      <c r="AB14" s="45"/>
      <c r="AC14" s="88"/>
      <c r="AD14" s="88"/>
      <c r="AE14" s="88"/>
      <c r="AF14" s="23"/>
      <c r="AG14" s="23"/>
      <c r="AH14" s="23"/>
      <c r="AI14" s="23"/>
      <c r="AJ14" s="160"/>
      <c r="AK14" s="160"/>
      <c r="AL14" s="159"/>
      <c r="AM14" s="158"/>
      <c r="AN14" s="158"/>
      <c r="AO14" s="23"/>
      <c r="AP14" s="136"/>
      <c r="AQ14" s="23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83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</row>
    <row r="15" spans="1:120" ht="15" x14ac:dyDescent="0.25">
      <c r="A15" s="1"/>
      <c r="B15" s="1"/>
      <c r="C15" s="52"/>
      <c r="D15" s="22" t="s">
        <v>3252</v>
      </c>
      <c r="E15" s="140">
        <f ca="1">TODAY()</f>
        <v>44491</v>
      </c>
      <c r="F15" s="23"/>
      <c r="G15" s="22" t="s">
        <v>2913</v>
      </c>
      <c r="H15" s="109" t="s">
        <v>2916</v>
      </c>
      <c r="I15" s="23"/>
      <c r="J15" s="23"/>
      <c r="K15" s="23"/>
      <c r="L15" s="23"/>
      <c r="M15" s="23"/>
      <c r="N15" s="23"/>
      <c r="O15" s="23"/>
      <c r="P15" s="23"/>
      <c r="Q15" s="83"/>
      <c r="R15" s="1"/>
      <c r="S15" s="45"/>
      <c r="T15" s="23"/>
      <c r="U15" s="23"/>
      <c r="V15" s="23"/>
      <c r="W15" s="23"/>
      <c r="X15" s="23"/>
      <c r="Y15" s="23"/>
      <c r="Z15" s="83"/>
      <c r="AA15" s="1"/>
      <c r="AB15" s="45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83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</row>
    <row r="16" spans="1:120" ht="15" x14ac:dyDescent="0.25">
      <c r="A16" s="1"/>
      <c r="B16" s="1"/>
      <c r="C16" s="52"/>
      <c r="D16" s="86"/>
      <c r="E16" s="86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83"/>
      <c r="R16" s="1"/>
      <c r="S16" s="45"/>
      <c r="T16" s="23"/>
      <c r="U16" s="23"/>
      <c r="V16" s="23"/>
      <c r="W16" s="23"/>
      <c r="X16" s="23"/>
      <c r="Y16" s="23"/>
      <c r="Z16" s="83"/>
      <c r="AA16" s="1"/>
      <c r="AB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83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</row>
    <row r="17" spans="1:120" ht="15" x14ac:dyDescent="0.25">
      <c r="A17" s="1"/>
      <c r="B17" s="1"/>
      <c r="C17" s="52"/>
      <c r="D17" s="21" t="s">
        <v>2706</v>
      </c>
      <c r="E17" s="108" t="s">
        <v>3201</v>
      </c>
      <c r="F17" s="23" t="s">
        <v>2688</v>
      </c>
      <c r="G17" s="22" t="s">
        <v>47</v>
      </c>
      <c r="H17" s="22" t="s">
        <v>48</v>
      </c>
      <c r="I17" s="22" t="s">
        <v>49</v>
      </c>
      <c r="J17" s="22" t="s">
        <v>3189</v>
      </c>
      <c r="K17" s="267"/>
      <c r="L17" s="22" t="s">
        <v>47</v>
      </c>
      <c r="M17" s="22" t="s">
        <v>55</v>
      </c>
      <c r="N17" s="23"/>
      <c r="O17" s="22" t="s">
        <v>47</v>
      </c>
      <c r="P17" s="22" t="s">
        <v>2697</v>
      </c>
      <c r="Q17" s="83"/>
      <c r="R17" s="1"/>
      <c r="S17" s="45"/>
      <c r="T17" s="23"/>
      <c r="U17" s="23"/>
      <c r="V17" s="23"/>
      <c r="W17" s="23"/>
      <c r="X17" s="23"/>
      <c r="Y17" s="23"/>
      <c r="Z17" s="83"/>
      <c r="AA17" s="1"/>
      <c r="AB17" s="45"/>
      <c r="AC17" s="35" t="s">
        <v>47</v>
      </c>
      <c r="AD17" s="35" t="s">
        <v>56</v>
      </c>
      <c r="AE17" s="35" t="s">
        <v>55</v>
      </c>
      <c r="AF17" s="22" t="s">
        <v>54</v>
      </c>
      <c r="AG17" s="22" t="s">
        <v>2697</v>
      </c>
      <c r="AH17" s="22" t="s">
        <v>2696</v>
      </c>
      <c r="AI17" s="21" t="s">
        <v>9</v>
      </c>
      <c r="AJ17" s="21" t="s">
        <v>2693</v>
      </c>
      <c r="AK17" s="168" t="s">
        <v>2703</v>
      </c>
      <c r="AL17" s="129" t="s">
        <v>2686</v>
      </c>
      <c r="AM17" s="21" t="s">
        <v>2694</v>
      </c>
      <c r="AN17" s="168" t="s">
        <v>2704</v>
      </c>
      <c r="AO17" s="129" t="s">
        <v>2687</v>
      </c>
      <c r="AP17" s="21" t="s">
        <v>58</v>
      </c>
      <c r="AQ17" s="22" t="s">
        <v>53</v>
      </c>
      <c r="AR17" s="21" t="s">
        <v>57</v>
      </c>
      <c r="AS17" s="22" t="s">
        <v>59</v>
      </c>
      <c r="AT17" s="21" t="s">
        <v>60</v>
      </c>
      <c r="AU17" s="22" t="s">
        <v>91</v>
      </c>
      <c r="AV17" s="21" t="s">
        <v>113</v>
      </c>
      <c r="AW17" s="137" t="s">
        <v>114</v>
      </c>
      <c r="AX17" s="22" t="s">
        <v>48</v>
      </c>
      <c r="AY17" s="22" t="s">
        <v>49</v>
      </c>
      <c r="AZ17" s="22" t="s">
        <v>2917</v>
      </c>
      <c r="BA17" s="22" t="s">
        <v>2918</v>
      </c>
      <c r="BB17" s="22" t="s">
        <v>3190</v>
      </c>
      <c r="BC17" s="22" t="s">
        <v>62</v>
      </c>
      <c r="BD17" s="83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</row>
    <row r="18" spans="1:120" ht="15" x14ac:dyDescent="0.25">
      <c r="A18" s="1"/>
      <c r="B18" s="1"/>
      <c r="C18" s="52"/>
      <c r="D18" s="22" t="s">
        <v>56</v>
      </c>
      <c r="E18" s="140">
        <f ca="1">MAX(G18:G300,AsOfDate)</f>
        <v>44491</v>
      </c>
      <c r="F18" s="23"/>
      <c r="G18" s="113"/>
      <c r="H18" s="215"/>
      <c r="I18" s="223"/>
      <c r="J18" s="271" t="s">
        <v>3271</v>
      </c>
      <c r="K18" s="267"/>
      <c r="L18" s="117">
        <v>2.7397260000000001E-3</v>
      </c>
      <c r="M18" s="118">
        <v>-5.7894000000000001E-3</v>
      </c>
      <c r="N18" s="23"/>
      <c r="O18" s="117">
        <v>2.7397260273999999E-3</v>
      </c>
      <c r="P18" s="118">
        <v>-6.1847746211800003E-3</v>
      </c>
      <c r="Q18" s="83"/>
      <c r="R18" s="1"/>
      <c r="S18" s="45"/>
      <c r="T18" s="23"/>
      <c r="U18" s="23"/>
      <c r="V18" s="23"/>
      <c r="W18" s="23"/>
      <c r="X18" s="23"/>
      <c r="Y18" s="23"/>
      <c r="Z18" s="83"/>
      <c r="AA18" s="1"/>
      <c r="AB18" s="45"/>
      <c r="AC18" s="27">
        <v>44483</v>
      </c>
      <c r="AD18" s="33">
        <v>0</v>
      </c>
      <c r="AE18" s="145">
        <v>-5.6981000000000002E-3</v>
      </c>
      <c r="AF18" s="141">
        <v>1</v>
      </c>
      <c r="AG18" s="145">
        <v>-6.1847746211800003E-3</v>
      </c>
      <c r="AH18" s="148">
        <v>1</v>
      </c>
      <c r="AI18" s="201">
        <v>0.59119999999999995</v>
      </c>
      <c r="AJ18" s="130">
        <v>1</v>
      </c>
      <c r="AK18" s="169">
        <v>0</v>
      </c>
      <c r="AL18" s="165">
        <v>0</v>
      </c>
      <c r="AM18" s="130">
        <v>1</v>
      </c>
      <c r="AN18" s="169">
        <v>0</v>
      </c>
      <c r="AO18" s="165">
        <v>0</v>
      </c>
      <c r="AP18" s="161">
        <v>0</v>
      </c>
      <c r="AQ18" s="124">
        <f ca="1">IF(Enable_Default_K="Yes",DefK_t_0,0)</f>
        <v>74185.561723437204</v>
      </c>
      <c r="AR18" s="29">
        <v>0</v>
      </c>
      <c r="AS18" s="125">
        <f>IF(Enable_CVA_K="Yes",CvaK_t_0,0)</f>
        <v>0</v>
      </c>
      <c r="AT18" s="29">
        <v>0</v>
      </c>
      <c r="AU18" s="152">
        <v>-4.8662225812156485</v>
      </c>
      <c r="AV18" s="155">
        <v>0</v>
      </c>
      <c r="AW18" s="156">
        <v>0</v>
      </c>
      <c r="AX18" s="121">
        <v>0</v>
      </c>
      <c r="AY18" s="28">
        <v>0</v>
      </c>
      <c r="AZ18" s="121">
        <v>0</v>
      </c>
      <c r="BA18" s="28">
        <v>0</v>
      </c>
      <c r="BB18" s="133"/>
      <c r="BC18" s="133">
        <v>285406.36749153159</v>
      </c>
      <c r="BD18" s="83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</row>
    <row r="19" spans="1:120" ht="15" x14ac:dyDescent="0.25">
      <c r="A19" s="1"/>
      <c r="B19" s="1"/>
      <c r="C19" s="52"/>
      <c r="D19" s="22" t="s">
        <v>2716</v>
      </c>
      <c r="E19" s="109" t="s">
        <v>2890</v>
      </c>
      <c r="F19" s="23"/>
      <c r="G19" s="113"/>
      <c r="H19" s="215"/>
      <c r="I19" s="224"/>
      <c r="J19" s="271"/>
      <c r="K19" s="267"/>
      <c r="L19" s="117">
        <v>1.09589041E-2</v>
      </c>
      <c r="M19" s="118">
        <v>-5.7867999999999999E-3</v>
      </c>
      <c r="N19" s="23"/>
      <c r="O19" s="117">
        <v>3.0136986301369999E-2</v>
      </c>
      <c r="P19" s="118">
        <v>-5.7866405940699998E-3</v>
      </c>
      <c r="Q19" s="83"/>
      <c r="R19" s="1"/>
      <c r="S19" s="45"/>
      <c r="T19" s="23"/>
      <c r="U19" s="23"/>
      <c r="V19" s="23"/>
      <c r="W19" s="1"/>
      <c r="X19" s="23"/>
      <c r="Y19" s="23"/>
      <c r="Z19" s="83"/>
      <c r="AA19" s="1"/>
      <c r="AB19" s="45"/>
      <c r="AC19" s="27">
        <v>44484</v>
      </c>
      <c r="AD19" s="33">
        <v>2.7378507871321013E-3</v>
      </c>
      <c r="AE19" s="146">
        <v>-5.6981000000000002E-3</v>
      </c>
      <c r="AF19" s="142">
        <v>1.0000156006692593</v>
      </c>
      <c r="AG19" s="146">
        <v>-6.1847746211800003E-3</v>
      </c>
      <c r="AH19" s="149">
        <v>1.0000169331334288</v>
      </c>
      <c r="AI19" s="202">
        <v>0.59119999999999995</v>
      </c>
      <c r="AJ19" s="131">
        <v>0.99993419393832161</v>
      </c>
      <c r="AK19" s="170">
        <v>6.5806061678386207E-5</v>
      </c>
      <c r="AL19" s="166">
        <v>6.5808226992237362E-5</v>
      </c>
      <c r="AM19" s="131">
        <v>0.99999858964464128</v>
      </c>
      <c r="AN19" s="170">
        <v>1.4103553587219153E-6</v>
      </c>
      <c r="AO19" s="166">
        <v>1.4103563533139719E-6</v>
      </c>
      <c r="AP19" s="122">
        <v>0.58750109787893989</v>
      </c>
      <c r="AQ19" s="121">
        <v>74185.561723437204</v>
      </c>
      <c r="AR19" s="29">
        <v>29.703157780926109</v>
      </c>
      <c r="AS19" s="28">
        <v>0</v>
      </c>
      <c r="AT19" s="29">
        <v>0</v>
      </c>
      <c r="AU19" s="153">
        <v>-3.5552630803207736</v>
      </c>
      <c r="AV19" s="121">
        <v>-1.4698103293184096E-2</v>
      </c>
      <c r="AW19" s="29">
        <v>0</v>
      </c>
      <c r="AX19" s="121">
        <v>15100.877837177846</v>
      </c>
      <c r="AY19" s="28">
        <v>0</v>
      </c>
      <c r="AZ19" s="121">
        <v>15101.113420978509</v>
      </c>
      <c r="BA19" s="28">
        <v>0</v>
      </c>
      <c r="BB19" s="134"/>
      <c r="BC19" s="134">
        <v>285406.36749153159</v>
      </c>
      <c r="BD19" s="83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</row>
    <row r="20" spans="1:120" ht="15" x14ac:dyDescent="0.25">
      <c r="A20" s="1"/>
      <c r="B20" s="1"/>
      <c r="C20" s="52"/>
      <c r="D20" s="22" t="s">
        <v>3249</v>
      </c>
      <c r="E20" s="109"/>
      <c r="F20" s="23"/>
      <c r="G20" s="113"/>
      <c r="H20" s="215"/>
      <c r="I20" s="224"/>
      <c r="J20" s="271"/>
      <c r="K20" s="267"/>
      <c r="L20" s="117">
        <v>1.3698630099999999E-2</v>
      </c>
      <c r="M20" s="118">
        <v>-5.7860000000000003E-3</v>
      </c>
      <c r="N20" s="23"/>
      <c r="O20" s="117">
        <v>4.9315068493149997E-2</v>
      </c>
      <c r="P20" s="118">
        <v>-5.7249448404100003E-3</v>
      </c>
      <c r="Q20" s="83"/>
      <c r="R20" s="1"/>
      <c r="S20" s="45"/>
      <c r="T20" s="23"/>
      <c r="U20" s="23"/>
      <c r="W20" s="97"/>
      <c r="X20" s="23"/>
      <c r="Y20" s="23"/>
      <c r="Z20" s="83"/>
      <c r="AA20" s="1"/>
      <c r="AB20" s="45"/>
      <c r="AC20" s="187">
        <v>44485</v>
      </c>
      <c r="AD20" s="33">
        <v>5.4757015742642025E-3</v>
      </c>
      <c r="AE20" s="146">
        <v>-5.7079864474756129E-3</v>
      </c>
      <c r="AF20" s="143">
        <v>1.0000312557188262</v>
      </c>
      <c r="AG20" s="146">
        <v>-6.1291121595929777E-3</v>
      </c>
      <c r="AH20" s="150">
        <v>1.0000335617522842</v>
      </c>
      <c r="AI20" s="202">
        <v>0.59119999999999995</v>
      </c>
      <c r="AJ20" s="131">
        <v>0.99986839220708101</v>
      </c>
      <c r="AK20" s="170">
        <v>1.3160779291898628E-4</v>
      </c>
      <c r="AL20" s="166">
        <v>1.3161645398447472E-4</v>
      </c>
      <c r="AM20" s="131">
        <v>0.99999717929127163</v>
      </c>
      <c r="AN20" s="170">
        <v>2.8207087283682597E-6</v>
      </c>
      <c r="AO20" s="166">
        <v>2.8207127066279437E-6</v>
      </c>
      <c r="AP20" s="121">
        <v>1.1749416096229859</v>
      </c>
      <c r="AQ20" s="121">
        <v>74185.561723437204</v>
      </c>
      <c r="AR20" s="29">
        <v>29.701626209739821</v>
      </c>
      <c r="AS20" s="28">
        <v>0</v>
      </c>
      <c r="AT20" s="29">
        <v>0</v>
      </c>
      <c r="AU20" s="153">
        <v>-0.95679582550084119</v>
      </c>
      <c r="AV20" s="121">
        <v>-7.9107275198701706E-3</v>
      </c>
      <c r="AW20" s="29">
        <v>0</v>
      </c>
      <c r="AX20" s="121">
        <v>30201.755674355692</v>
      </c>
      <c r="AY20" s="28">
        <v>0</v>
      </c>
      <c r="AZ20" s="121">
        <v>30202.699651939107</v>
      </c>
      <c r="BA20" s="28">
        <v>0</v>
      </c>
      <c r="BB20" s="133"/>
      <c r="BC20" s="133">
        <v>285406.36749153159</v>
      </c>
      <c r="BD20" s="83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</row>
    <row r="21" spans="1:120" ht="15" x14ac:dyDescent="0.25">
      <c r="A21" s="1"/>
      <c r="B21" s="1"/>
      <c r="C21" s="52"/>
      <c r="D21" s="22" t="s">
        <v>2919</v>
      </c>
      <c r="E21" s="109">
        <v>0</v>
      </c>
      <c r="F21" s="23"/>
      <c r="G21" s="113"/>
      <c r="H21" s="215"/>
      <c r="I21" s="224"/>
      <c r="J21" s="271"/>
      <c r="K21" s="267"/>
      <c r="L21" s="117">
        <v>1.64383562E-2</v>
      </c>
      <c r="M21" s="118">
        <v>-5.7853000000000002E-3</v>
      </c>
      <c r="N21" s="23"/>
      <c r="O21" s="117">
        <v>9.5890410958899996E-2</v>
      </c>
      <c r="P21" s="118">
        <v>-5.67688765513E-3</v>
      </c>
      <c r="Q21" s="83"/>
      <c r="R21" s="1"/>
      <c r="S21" s="45"/>
      <c r="T21" s="23"/>
      <c r="U21" s="23"/>
      <c r="V21" s="96" t="s">
        <v>3270</v>
      </c>
      <c r="W21" s="97"/>
      <c r="X21" s="23"/>
      <c r="Y21" s="23"/>
      <c r="Z21" s="83"/>
      <c r="AA21" s="1"/>
      <c r="AB21" s="45"/>
      <c r="AC21" s="27">
        <v>44488</v>
      </c>
      <c r="AD21" s="33">
        <v>1.3689253935660506E-2</v>
      </c>
      <c r="AE21" s="146">
        <v>-5.7360679444564966E-3</v>
      </c>
      <c r="AF21" s="143">
        <v>1.0000785255736553</v>
      </c>
      <c r="AG21" s="146">
        <v>-5.9620103215179921E-3</v>
      </c>
      <c r="AH21" s="150">
        <v>1.0000816188038917</v>
      </c>
      <c r="AI21" s="202">
        <v>0.59119999999999995</v>
      </c>
      <c r="AJ21" s="131">
        <v>0.9996710129931361</v>
      </c>
      <c r="AK21" s="170">
        <v>3.2898700686390114E-4</v>
      </c>
      <c r="AL21" s="166">
        <v>3.2904113496118683E-4</v>
      </c>
      <c r="AM21" s="131">
        <v>0.99999294824309715</v>
      </c>
      <c r="AN21" s="170">
        <v>7.0517569028538674E-6</v>
      </c>
      <c r="AO21" s="166">
        <v>7.0517817665698576E-6</v>
      </c>
      <c r="AP21" s="121">
        <v>8.8112815446910293</v>
      </c>
      <c r="AQ21" s="121">
        <v>74185.561723437204</v>
      </c>
      <c r="AR21" s="29">
        <v>89.09112292346903</v>
      </c>
      <c r="AS21" s="28">
        <v>0</v>
      </c>
      <c r="AT21" s="29">
        <v>0</v>
      </c>
      <c r="AU21" s="153">
        <v>1.580924709233501</v>
      </c>
      <c r="AV21" s="121">
        <v>9.8017259246771182E-2</v>
      </c>
      <c r="AW21" s="29">
        <v>0</v>
      </c>
      <c r="AX21" s="121">
        <v>75504.389185889231</v>
      </c>
      <c r="AY21" s="28">
        <v>0</v>
      </c>
      <c r="AZ21" s="121">
        <v>75510.318211363541</v>
      </c>
      <c r="BA21" s="28">
        <v>0</v>
      </c>
      <c r="BB21" s="133"/>
      <c r="BC21" s="133">
        <v>285406.36749153159</v>
      </c>
      <c r="BD21" s="83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</row>
    <row r="22" spans="1:120" ht="15" x14ac:dyDescent="0.25">
      <c r="A22" s="1"/>
      <c r="B22" s="1"/>
      <c r="C22" s="52"/>
      <c r="D22" s="86"/>
      <c r="E22" s="279"/>
      <c r="F22" s="23"/>
      <c r="G22" s="113"/>
      <c r="H22" s="215"/>
      <c r="I22" s="224"/>
      <c r="J22" s="271"/>
      <c r="K22" s="267"/>
      <c r="L22" s="117">
        <v>1.9178082199999998E-2</v>
      </c>
      <c r="M22" s="118">
        <v>-5.7844999999999997E-3</v>
      </c>
      <c r="N22" s="23"/>
      <c r="O22" s="117">
        <v>0.26301369863014001</v>
      </c>
      <c r="P22" s="118">
        <v>-5.5518705683600001E-3</v>
      </c>
      <c r="Q22" s="83"/>
      <c r="R22" s="1"/>
      <c r="S22" s="45"/>
      <c r="T22" s="23"/>
      <c r="U22" s="23"/>
      <c r="V22" s="98" t="s">
        <v>2715</v>
      </c>
      <c r="W22" s="98"/>
      <c r="X22" s="23"/>
      <c r="Y22" s="23"/>
      <c r="Z22" s="83"/>
      <c r="AA22" s="1"/>
      <c r="AB22" s="45"/>
      <c r="AC22" s="27">
        <v>44489</v>
      </c>
      <c r="AD22" s="33">
        <v>1.6427104722792608E-2</v>
      </c>
      <c r="AE22" s="146">
        <v>-5.7443659136507041E-3</v>
      </c>
      <c r="AF22" s="143">
        <v>1.0000943677527858</v>
      </c>
      <c r="AG22" s="146">
        <v>-5.9063097088263303E-3</v>
      </c>
      <c r="AH22" s="150">
        <v>1.0000970282750508</v>
      </c>
      <c r="AI22" s="202">
        <v>0.59119999999999995</v>
      </c>
      <c r="AJ22" s="131">
        <v>0.99960522858079703</v>
      </c>
      <c r="AK22" s="170">
        <v>3.947714192029661E-4</v>
      </c>
      <c r="AL22" s="166">
        <v>3.9484936195342422E-4</v>
      </c>
      <c r="AM22" s="131">
        <v>0.99999153789768391</v>
      </c>
      <c r="AN22" s="170">
        <v>8.4621023160869058E-6</v>
      </c>
      <c r="AO22" s="166">
        <v>8.4621381198838312E-6</v>
      </c>
      <c r="AP22" s="121">
        <v>3.5240996134487554</v>
      </c>
      <c r="AQ22" s="121">
        <v>74185.561723437204</v>
      </c>
      <c r="AR22" s="29">
        <v>29.695515245836528</v>
      </c>
      <c r="AS22" s="28">
        <v>0</v>
      </c>
      <c r="AT22" s="29">
        <v>0</v>
      </c>
      <c r="AU22" s="153">
        <v>2.7979256898212883</v>
      </c>
      <c r="AV22" s="121">
        <v>6.9384940688139371E-2</v>
      </c>
      <c r="AW22" s="29">
        <v>0</v>
      </c>
      <c r="AX22" s="121">
        <v>90605.267023067077</v>
      </c>
      <c r="AY22" s="28">
        <v>0</v>
      </c>
      <c r="AZ22" s="121">
        <v>90613.817238506599</v>
      </c>
      <c r="BA22" s="28">
        <v>0</v>
      </c>
      <c r="BB22" s="133"/>
      <c r="BC22" s="133">
        <v>285406.36749153159</v>
      </c>
      <c r="BD22" s="83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</row>
    <row r="23" spans="1:120" ht="15.75" thickBot="1" x14ac:dyDescent="0.3">
      <c r="A23" s="1"/>
      <c r="B23" s="1"/>
      <c r="C23" s="52"/>
      <c r="D23" s="22" t="s">
        <v>2712</v>
      </c>
      <c r="E23" s="157">
        <f ca="1">Maturity</f>
        <v>44491</v>
      </c>
      <c r="F23" s="23"/>
      <c r="G23" s="113"/>
      <c r="H23" s="215"/>
      <c r="I23" s="224"/>
      <c r="J23" s="271"/>
      <c r="K23" s="267"/>
      <c r="L23" s="117">
        <v>4.9315068500000003E-2</v>
      </c>
      <c r="M23" s="118">
        <v>-5.7813999999999999E-3</v>
      </c>
      <c r="N23" s="23"/>
      <c r="O23" s="117">
        <v>0.50958904109588998</v>
      </c>
      <c r="P23" s="118">
        <v>-5.3955438155099998E-3</v>
      </c>
      <c r="Q23" s="83"/>
      <c r="R23" s="1"/>
      <c r="S23" s="45"/>
      <c r="T23" s="23"/>
      <c r="U23" s="23"/>
      <c r="V23" s="99"/>
      <c r="W23" s="107" t="s">
        <v>2660</v>
      </c>
      <c r="X23" s="23"/>
      <c r="Y23" s="23"/>
      <c r="Z23" s="83"/>
      <c r="AA23" s="1"/>
      <c r="AB23" s="45"/>
      <c r="AC23" s="27">
        <v>44490</v>
      </c>
      <c r="AD23" s="33">
        <v>1.9164955509924708E-2</v>
      </c>
      <c r="AE23" s="146">
        <v>-5.7517645448097515E-3</v>
      </c>
      <c r="AF23" s="143">
        <v>1.0001102383874094</v>
      </c>
      <c r="AG23" s="146">
        <v>-5.8506090961346685E-3</v>
      </c>
      <c r="AH23" s="150">
        <v>1.0001121329494627</v>
      </c>
      <c r="AI23" s="202">
        <v>0.59119999999999995</v>
      </c>
      <c r="AJ23" s="131">
        <v>0.99953944849747101</v>
      </c>
      <c r="AK23" s="170">
        <v>4.6055150252899413E-4</v>
      </c>
      <c r="AL23" s="166">
        <v>4.6065758894566156E-4</v>
      </c>
      <c r="AM23" s="131">
        <v>0.99999012755425976</v>
      </c>
      <c r="AN23" s="170">
        <v>9.8724457402443733E-6</v>
      </c>
      <c r="AO23" s="166">
        <v>9.8724944731978013E-6</v>
      </c>
      <c r="AP23" s="121">
        <v>4.1112384332722893</v>
      </c>
      <c r="AQ23" s="121">
        <v>74185.561723437204</v>
      </c>
      <c r="AR23" s="29">
        <v>29.693990432982826</v>
      </c>
      <c r="AS23" s="28">
        <v>0</v>
      </c>
      <c r="AT23" s="29">
        <v>0</v>
      </c>
      <c r="AU23" s="153">
        <v>4.2164033264971854</v>
      </c>
      <c r="AV23" s="121">
        <v>0.12198198086846852</v>
      </c>
      <c r="AW23" s="29">
        <v>0</v>
      </c>
      <c r="AX23" s="121">
        <v>105706.14486024494</v>
      </c>
      <c r="AY23" s="28">
        <v>0</v>
      </c>
      <c r="AZ23" s="121">
        <v>105717.7977351936</v>
      </c>
      <c r="BA23" s="28">
        <v>0</v>
      </c>
      <c r="BB23" s="133"/>
      <c r="BC23" s="133">
        <v>285406.36749153159</v>
      </c>
      <c r="BD23" s="83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</row>
    <row r="24" spans="1:120" ht="15" x14ac:dyDescent="0.25">
      <c r="A24" s="1"/>
      <c r="B24" s="1"/>
      <c r="C24" s="52"/>
      <c r="D24" s="86"/>
      <c r="E24" s="86"/>
      <c r="F24" s="23"/>
      <c r="G24" s="113"/>
      <c r="H24" s="215"/>
      <c r="I24" s="224"/>
      <c r="J24" s="271"/>
      <c r="K24" s="267"/>
      <c r="L24" s="117">
        <v>6.8493150700000005E-2</v>
      </c>
      <c r="M24" s="118">
        <v>-5.7812000000000002E-3</v>
      </c>
      <c r="N24" s="23"/>
      <c r="O24" s="117">
        <v>0.75890410958903998</v>
      </c>
      <c r="P24" s="118">
        <v>-5.1643592427900002E-3</v>
      </c>
      <c r="Q24" s="83"/>
      <c r="R24" s="1"/>
      <c r="S24" s="45"/>
      <c r="T24" s="23"/>
      <c r="U24" s="23"/>
      <c r="V24" s="101" t="s">
        <v>58</v>
      </c>
      <c r="W24" s="102">
        <f ca="1">SUMIF(AC18:AC50005,"&lt;="&amp;EarlyTerminationDate,AP18:AP50005)/FX_CCYEUR</f>
        <v>21.076035393490514</v>
      </c>
      <c r="X24" s="23"/>
      <c r="Y24" s="136"/>
      <c r="Z24" s="83"/>
      <c r="AA24" s="1"/>
      <c r="AB24" s="45"/>
      <c r="AC24" s="187">
        <v>44492</v>
      </c>
      <c r="AD24" s="33">
        <v>2.4640657084188913E-2</v>
      </c>
      <c r="AE24" s="146">
        <v>-5.7560092174326009E-3</v>
      </c>
      <c r="AF24" s="143">
        <v>1.0001418419079124</v>
      </c>
      <c r="AG24" s="146">
        <v>-5.7392078707513448E-3</v>
      </c>
      <c r="AH24" s="150">
        <v>1.000141427853054</v>
      </c>
      <c r="AI24" s="202">
        <v>0.59119999999999995</v>
      </c>
      <c r="AJ24" s="131">
        <v>0.99940790131671875</v>
      </c>
      <c r="AK24" s="170">
        <v>5.9209868328125026E-4</v>
      </c>
      <c r="AL24" s="166">
        <v>5.9227404293013639E-4</v>
      </c>
      <c r="AM24" s="131">
        <v>0.99998730687337856</v>
      </c>
      <c r="AN24" s="170">
        <v>1.2693126621443618E-5</v>
      </c>
      <c r="AO24" s="166">
        <v>1.2693207179825745E-5</v>
      </c>
      <c r="AP24" s="121">
        <v>10.57101668278548</v>
      </c>
      <c r="AQ24" s="121">
        <v>74185.561723437204</v>
      </c>
      <c r="AR24" s="29">
        <v>59.381873860842958</v>
      </c>
      <c r="AS24" s="28">
        <v>0</v>
      </c>
      <c r="AT24" s="29">
        <v>0</v>
      </c>
      <c r="AU24" s="153">
        <v>1.623409918842418</v>
      </c>
      <c r="AV24" s="121">
        <v>0.12075678242922824</v>
      </c>
      <c r="AW24" s="29">
        <v>0</v>
      </c>
      <c r="AX24" s="121">
        <v>135907.90053460063</v>
      </c>
      <c r="AY24" s="28">
        <v>0</v>
      </c>
      <c r="AZ24" s="121">
        <v>135927.17797051283</v>
      </c>
      <c r="BA24" s="28">
        <v>0</v>
      </c>
      <c r="BB24" s="133"/>
      <c r="BC24" s="133">
        <v>285406.36749153159</v>
      </c>
      <c r="BD24" s="83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</row>
    <row r="25" spans="1:120" ht="15" x14ac:dyDescent="0.25">
      <c r="A25" s="1"/>
      <c r="B25" s="1"/>
      <c r="C25" s="52"/>
      <c r="D25" s="86"/>
      <c r="E25" s="86"/>
      <c r="F25" s="90"/>
      <c r="G25" s="113"/>
      <c r="H25" s="215"/>
      <c r="I25" s="224"/>
      <c r="J25" s="271"/>
      <c r="K25" s="267"/>
      <c r="L25" s="117">
        <v>9.5890410999999995E-2</v>
      </c>
      <c r="M25" s="118">
        <v>-5.7812999999999996E-3</v>
      </c>
      <c r="N25" s="23"/>
      <c r="O25" s="117">
        <v>1.0109589041095901</v>
      </c>
      <c r="P25" s="118">
        <v>-4.9115686130600002E-3</v>
      </c>
      <c r="Q25" s="83"/>
      <c r="R25" s="1"/>
      <c r="S25" s="45"/>
      <c r="T25" s="23"/>
      <c r="U25" s="23"/>
      <c r="V25" s="103" t="s">
        <v>63</v>
      </c>
      <c r="W25" s="104">
        <f ca="1">IF(Enable_Default_K="Yes",SUMIF(AC18:AC50005,"&lt;="&amp;EarlyTerminationDate,AR18:AR50005),0)/FX_CCYEUR</f>
        <v>240.61647116561258</v>
      </c>
      <c r="X25" s="23"/>
      <c r="Y25" s="23"/>
      <c r="Z25" s="83"/>
      <c r="AA25" s="1"/>
      <c r="AB25" s="45"/>
      <c r="AC25" s="27">
        <v>44499</v>
      </c>
      <c r="AD25" s="33">
        <v>4.380561259411362E-2</v>
      </c>
      <c r="AE25" s="146">
        <v>-5.770776880400643E-3</v>
      </c>
      <c r="AF25" s="143">
        <v>1.0002528243710853</v>
      </c>
      <c r="AG25" s="146">
        <v>-5.6904347108553089E-3</v>
      </c>
      <c r="AH25" s="150">
        <v>1.0002493040495264</v>
      </c>
      <c r="AI25" s="202">
        <v>0.59119999999999995</v>
      </c>
      <c r="AJ25" s="131">
        <v>0.99894762250612801</v>
      </c>
      <c r="AK25" s="170">
        <v>1.0523774938719921E-3</v>
      </c>
      <c r="AL25" s="166">
        <v>1.0529316318757978E-3</v>
      </c>
      <c r="AM25" s="131">
        <v>0.99997743455295052</v>
      </c>
      <c r="AN25" s="170">
        <v>2.2565447049482934E-5</v>
      </c>
      <c r="AO25" s="166">
        <v>2.256570165302355E-5</v>
      </c>
      <c r="AP25" s="121">
        <v>65.762387313646499</v>
      </c>
      <c r="AQ25" s="121">
        <v>74185.561723437204</v>
      </c>
      <c r="AR25" s="29">
        <v>207.76184025613895</v>
      </c>
      <c r="AS25" s="28">
        <v>0</v>
      </c>
      <c r="AT25" s="29">
        <v>0</v>
      </c>
      <c r="AU25" s="153">
        <v>1.3799693974484057</v>
      </c>
      <c r="AV25" s="121">
        <v>0.63847243429449163</v>
      </c>
      <c r="AW25" s="29">
        <v>0</v>
      </c>
      <c r="AX25" s="121">
        <v>241614.04539484554</v>
      </c>
      <c r="AY25" s="28">
        <v>0</v>
      </c>
      <c r="AZ25" s="121">
        <v>241675.13131391787</v>
      </c>
      <c r="BA25" s="28">
        <v>0</v>
      </c>
      <c r="BB25" s="133"/>
      <c r="BC25" s="133">
        <v>285406.36749153159</v>
      </c>
      <c r="BD25" s="83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</row>
    <row r="26" spans="1:120" ht="15" x14ac:dyDescent="0.25">
      <c r="A26" s="1"/>
      <c r="B26" s="1"/>
      <c r="C26" s="52"/>
      <c r="D26" s="86"/>
      <c r="E26" s="86"/>
      <c r="F26" s="23"/>
      <c r="G26" s="113"/>
      <c r="H26" s="215"/>
      <c r="I26" s="224"/>
      <c r="J26" s="271"/>
      <c r="K26" s="267"/>
      <c r="L26" s="117">
        <v>0.18356164380000001</v>
      </c>
      <c r="M26" s="118">
        <v>-5.7822999999999998E-3</v>
      </c>
      <c r="N26" s="23"/>
      <c r="O26" s="117">
        <v>1.5095890410958901</v>
      </c>
      <c r="P26" s="118">
        <v>-4.3504265797499999E-3</v>
      </c>
      <c r="Q26" s="83"/>
      <c r="R26" s="1"/>
      <c r="S26" s="45"/>
      <c r="T26" s="23"/>
      <c r="U26" s="23"/>
      <c r="V26" s="101" t="s">
        <v>2692</v>
      </c>
      <c r="W26" s="102">
        <f>IF(Enable_CVA_K="Yes",SUMIF(AC18:AC50005,"&lt;="&amp;EarlyTerminationDate,AT18:AT50005),0)/FX_CCYEUR</f>
        <v>0</v>
      </c>
      <c r="X26" s="23"/>
      <c r="Y26" s="23"/>
      <c r="Z26" s="83"/>
      <c r="AA26" s="1"/>
      <c r="AB26" s="45"/>
      <c r="AC26" s="27">
        <v>44506</v>
      </c>
      <c r="AD26" s="33">
        <v>6.2970568104038324E-2</v>
      </c>
      <c r="AE26" s="146">
        <v>-5.7738930282634059E-3</v>
      </c>
      <c r="AF26" s="143">
        <v>1.000363651429317</v>
      </c>
      <c r="AG26" s="146">
        <v>-5.6760966304916166E-3</v>
      </c>
      <c r="AH26" s="150">
        <v>1.0003574909140873</v>
      </c>
      <c r="AI26" s="202">
        <v>0.59119999999999995</v>
      </c>
      <c r="AJ26" s="131">
        <v>0.99848755567763503</v>
      </c>
      <c r="AK26" s="170">
        <v>1.5124443223649697E-3</v>
      </c>
      <c r="AL26" s="166">
        <v>1.5135892208214595E-3</v>
      </c>
      <c r="AM26" s="131">
        <v>0.9999675623299864</v>
      </c>
      <c r="AN26" s="170">
        <v>3.2437670013596431E-5</v>
      </c>
      <c r="AO26" s="166">
        <v>3.2438196126221346E-5</v>
      </c>
      <c r="AP26" s="121">
        <v>94.499430689719162</v>
      </c>
      <c r="AQ26" s="121">
        <v>74185.561723437204</v>
      </c>
      <c r="AR26" s="29">
        <v>207.68711404022272</v>
      </c>
      <c r="AS26" s="28">
        <v>0</v>
      </c>
      <c r="AT26" s="29">
        <v>0</v>
      </c>
      <c r="AU26" s="153">
        <v>1.6853968236876187</v>
      </c>
      <c r="AV26" s="121">
        <v>1.1205377410940516</v>
      </c>
      <c r="AW26" s="29">
        <v>0</v>
      </c>
      <c r="AX26" s="121">
        <v>347320.19025509042</v>
      </c>
      <c r="AY26" s="28">
        <v>0</v>
      </c>
      <c r="AZ26" s="121">
        <v>347446.49373870733</v>
      </c>
      <c r="BA26" s="28">
        <v>0</v>
      </c>
      <c r="BB26" s="133"/>
      <c r="BC26" s="133">
        <v>285406.36749153159</v>
      </c>
      <c r="BD26" s="83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</row>
    <row r="27" spans="1:120" ht="15" x14ac:dyDescent="0.25">
      <c r="A27" s="1"/>
      <c r="B27" s="1"/>
      <c r="C27" s="52"/>
      <c r="D27" s="22" t="s">
        <v>9</v>
      </c>
      <c r="E27" s="111">
        <v>0.59119999999999995</v>
      </c>
      <c r="F27" s="86"/>
      <c r="G27" s="113"/>
      <c r="H27" s="215"/>
      <c r="I27" s="224"/>
      <c r="J27" s="271"/>
      <c r="K27" s="267"/>
      <c r="L27" s="117">
        <v>0.26301369860000001</v>
      </c>
      <c r="M27" s="118">
        <v>-5.7834999999999996E-3</v>
      </c>
      <c r="N27" s="23"/>
      <c r="O27" s="117">
        <v>2.0109589041095899</v>
      </c>
      <c r="P27" s="118">
        <v>-3.5092215294100001E-3</v>
      </c>
      <c r="Q27" s="83"/>
      <c r="R27" s="1"/>
      <c r="S27" s="45"/>
      <c r="T27" s="23"/>
      <c r="U27" s="23"/>
      <c r="V27" s="103" t="s">
        <v>52</v>
      </c>
      <c r="W27" s="104">
        <f ca="1">IF(OR(Enable_FVA&lt;&gt;"Yes",AND(Product_Type="Equities SingleName",Is_WWR_Equity="Yes")),0,IF(Enable_FTP_Scalar="Yes",FTP_Scalar,100%)*SUMIF(AC18:AC50005,"&lt;="&amp;EarlyTerminationDate,(AV18:AV50005)))</f>
        <v>0.78431952897155499</v>
      </c>
      <c r="X27" s="23"/>
      <c r="Y27" s="23"/>
      <c r="Z27" s="83"/>
      <c r="AA27" s="1"/>
      <c r="AB27" s="45"/>
      <c r="AC27" s="27">
        <v>44514</v>
      </c>
      <c r="AD27" s="33">
        <v>8.4873374401095145E-2</v>
      </c>
      <c r="AE27" s="146">
        <v>-5.7757351197817589E-3</v>
      </c>
      <c r="AF27" s="143">
        <v>1.0004903262999227</v>
      </c>
      <c r="AG27" s="146">
        <v>-5.6597714222775472E-3</v>
      </c>
      <c r="AH27" s="150">
        <v>1.0004804792921616</v>
      </c>
      <c r="AI27" s="202">
        <v>0.59119999999999995</v>
      </c>
      <c r="AJ27" s="131">
        <v>0.99796202446117999</v>
      </c>
      <c r="AK27" s="170">
        <v>2.0379755388200138E-3</v>
      </c>
      <c r="AL27" s="166">
        <v>2.0400550367593588E-3</v>
      </c>
      <c r="AM27" s="131">
        <v>0.99995627990879832</v>
      </c>
      <c r="AN27" s="170">
        <v>4.3720091201682187E-5</v>
      </c>
      <c r="AO27" s="166">
        <v>4.3721046952733121E-5</v>
      </c>
      <c r="AP27" s="121">
        <v>145.50929535512495</v>
      </c>
      <c r="AQ27" s="121">
        <v>74185.561723437204</v>
      </c>
      <c r="AR27" s="29">
        <v>237.25913786400085</v>
      </c>
      <c r="AS27" s="28">
        <v>0</v>
      </c>
      <c r="AT27" s="29">
        <v>0</v>
      </c>
      <c r="AU27" s="153">
        <v>1.9097561248568231</v>
      </c>
      <c r="AV27" s="121">
        <v>1.9550122515878039</v>
      </c>
      <c r="AW27" s="29">
        <v>0</v>
      </c>
      <c r="AX27" s="121">
        <v>468127.21295251331</v>
      </c>
      <c r="AY27" s="28">
        <v>0</v>
      </c>
      <c r="AZ27" s="121">
        <v>468356.74803673348</v>
      </c>
      <c r="BA27" s="28">
        <v>0</v>
      </c>
      <c r="BB27" s="133"/>
      <c r="BC27" s="133">
        <v>285406.36749153159</v>
      </c>
      <c r="BD27" s="83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</row>
    <row r="28" spans="1:120" ht="15.75" thickBot="1" x14ac:dyDescent="0.3">
      <c r="A28" s="1"/>
      <c r="B28" s="1"/>
      <c r="C28" s="52"/>
      <c r="D28" s="22" t="s">
        <v>10</v>
      </c>
      <c r="E28" s="110" t="s">
        <v>24</v>
      </c>
      <c r="F28" s="23"/>
      <c r="G28" s="113"/>
      <c r="H28" s="215"/>
      <c r="I28" s="224"/>
      <c r="J28" s="271"/>
      <c r="K28" s="267"/>
      <c r="L28" s="117">
        <v>0.34794520550000002</v>
      </c>
      <c r="M28" s="118">
        <v>-5.7749999999999998E-3</v>
      </c>
      <c r="N28" s="23"/>
      <c r="O28" s="117">
        <v>3.0136986301369899</v>
      </c>
      <c r="P28" s="118">
        <v>-2.2811847902100002E-3</v>
      </c>
      <c r="Q28" s="83"/>
      <c r="R28" s="1"/>
      <c r="S28" s="45"/>
      <c r="T28" s="23"/>
      <c r="U28" s="23"/>
      <c r="V28" s="105" t="s">
        <v>51</v>
      </c>
      <c r="W28" s="106">
        <f ca="1">IF(OR(Enable_FVA&lt;&gt;"Yes",AND(Product_Type="Equities SingleName",Is_WWR_Equity="Yes")),0,SUMIF(AC18:AC50005,"&lt;="&amp;EarlyTerminationDate,AW18:AW50005))</f>
        <v>0</v>
      </c>
      <c r="X28" s="23"/>
      <c r="Y28" s="23"/>
      <c r="Z28" s="83"/>
      <c r="AA28" s="1"/>
      <c r="AB28" s="45"/>
      <c r="AC28" s="27">
        <v>44516</v>
      </c>
      <c r="AD28" s="33">
        <v>9.034907597535935E-2</v>
      </c>
      <c r="AE28" s="146">
        <v>-5.7761948049284816E-3</v>
      </c>
      <c r="AF28" s="143">
        <v>1.0005220100631356</v>
      </c>
      <c r="AG28" s="146">
        <v>-5.6556901202240301E-3</v>
      </c>
      <c r="AH28" s="150">
        <v>1.0005111169521435</v>
      </c>
      <c r="AI28" s="202">
        <v>0.59119999999999995</v>
      </c>
      <c r="AJ28" s="131">
        <v>0.99783068488172377</v>
      </c>
      <c r="AK28" s="170">
        <v>2.1693151182762271E-3</v>
      </c>
      <c r="AL28" s="166">
        <v>2.1716714907438336E-3</v>
      </c>
      <c r="AM28" s="131">
        <v>0.99995345932339152</v>
      </c>
      <c r="AN28" s="170">
        <v>4.6540676608475273E-5</v>
      </c>
      <c r="AO28" s="166">
        <v>4.6541759659361071E-5</v>
      </c>
      <c r="AP28" s="121">
        <v>35.410373105443163</v>
      </c>
      <c r="AQ28" s="121">
        <v>74185.561723437204</v>
      </c>
      <c r="AR28" s="29">
        <v>59.308689032468898</v>
      </c>
      <c r="AS28" s="28">
        <v>0</v>
      </c>
      <c r="AT28" s="29">
        <v>0</v>
      </c>
      <c r="AU28" s="153">
        <v>2.2816760462223904</v>
      </c>
      <c r="AV28" s="121">
        <v>0.56852696143838921</v>
      </c>
      <c r="AW28" s="29">
        <v>0</v>
      </c>
      <c r="AX28" s="121">
        <v>455820.67710602627</v>
      </c>
      <c r="AY28" s="28">
        <v>0</v>
      </c>
      <c r="AZ28" s="121">
        <v>456058.6200864609</v>
      </c>
      <c r="BA28" s="28">
        <v>0</v>
      </c>
      <c r="BB28" s="133"/>
      <c r="BC28" s="133">
        <v>285406.36749153159</v>
      </c>
      <c r="BD28" s="83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</row>
    <row r="29" spans="1:120" ht="15" x14ac:dyDescent="0.25">
      <c r="A29" s="1"/>
      <c r="B29" s="1"/>
      <c r="C29" s="52"/>
      <c r="D29" s="86"/>
      <c r="E29" s="86"/>
      <c r="F29" s="23" t="s">
        <v>2688</v>
      </c>
      <c r="G29" s="113"/>
      <c r="H29" s="215"/>
      <c r="I29" s="224"/>
      <c r="J29" s="271"/>
      <c r="K29" s="267"/>
      <c r="L29" s="117">
        <v>0.42465753420000002</v>
      </c>
      <c r="M29" s="118">
        <v>-5.7663000000000002E-3</v>
      </c>
      <c r="N29" s="23"/>
      <c r="O29" s="117">
        <v>4.0191780821917797</v>
      </c>
      <c r="P29" s="118">
        <v>-1.23408033931E-3</v>
      </c>
      <c r="Q29" s="83"/>
      <c r="R29" s="1"/>
      <c r="S29" s="45"/>
      <c r="T29" s="23"/>
      <c r="U29" s="23"/>
      <c r="V29" s="103" t="str">
        <f>"CIC estimated (under " &amp; Capital_Approach &amp; ")"</f>
        <v>CIC estimated (under IMM (proxy))</v>
      </c>
      <c r="W29" s="104">
        <f ca="1">SUM(W24:W28)</f>
        <v>262.47682608807463</v>
      </c>
      <c r="X29" s="23"/>
      <c r="Y29" s="283" t="str">
        <f>IF(Notional_in_CCY=0,"",W29/Notional_in_CCY)</f>
        <v/>
      </c>
      <c r="Z29" s="83"/>
      <c r="AA29" s="1"/>
      <c r="AB29" s="45"/>
      <c r="AC29" s="27">
        <v>44544</v>
      </c>
      <c r="AD29" s="33">
        <v>0.16700889801505817</v>
      </c>
      <c r="AE29" s="146">
        <v>-5.7702355738059839E-3</v>
      </c>
      <c r="AF29" s="143">
        <v>1.000964145173894</v>
      </c>
      <c r="AG29" s="146">
        <v>-5.6008510206089074E-3</v>
      </c>
      <c r="AH29" s="150">
        <v>1.0009358295723916</v>
      </c>
      <c r="AI29" s="202">
        <v>0.59119999999999995</v>
      </c>
      <c r="AJ29" s="131">
        <v>0.99599374469245139</v>
      </c>
      <c r="AK29" s="170">
        <v>4.0062553075486118E-3</v>
      </c>
      <c r="AL29" s="166">
        <v>4.0143018465264796E-3</v>
      </c>
      <c r="AM29" s="131">
        <v>0.99991397196307163</v>
      </c>
      <c r="AN29" s="170">
        <v>8.6028036928365026E-5</v>
      </c>
      <c r="AO29" s="166">
        <v>8.6031737552152263E-5</v>
      </c>
      <c r="AP29" s="121">
        <v>308.18276973660051</v>
      </c>
      <c r="AQ29" s="121">
        <v>74185.561723437204</v>
      </c>
      <c r="AR29" s="29">
        <v>829.12658380650282</v>
      </c>
      <c r="AS29" s="28">
        <v>0</v>
      </c>
      <c r="AT29" s="29">
        <v>0</v>
      </c>
      <c r="AU29" s="153">
        <v>2.7941968917931641</v>
      </c>
      <c r="AV29" s="121">
        <v>6.0542497915749784</v>
      </c>
      <c r="AW29" s="29">
        <v>0</v>
      </c>
      <c r="AX29" s="121">
        <v>283529.17525520787</v>
      </c>
      <c r="AY29" s="28">
        <v>0</v>
      </c>
      <c r="AZ29" s="121">
        <v>283802.53854118835</v>
      </c>
      <c r="BA29" s="28">
        <v>0</v>
      </c>
      <c r="BB29" s="133"/>
      <c r="BC29" s="133">
        <v>285406.36749153159</v>
      </c>
      <c r="BD29" s="83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</row>
    <row r="30" spans="1:120" ht="15" x14ac:dyDescent="0.25">
      <c r="A30" s="1"/>
      <c r="B30" s="1"/>
      <c r="C30" s="52"/>
      <c r="D30" s="86"/>
      <c r="E30" s="86"/>
      <c r="F30" s="23" t="s">
        <v>2688</v>
      </c>
      <c r="G30" s="113"/>
      <c r="H30" s="215"/>
      <c r="I30" s="224"/>
      <c r="J30" s="271"/>
      <c r="K30" s="267"/>
      <c r="L30" s="117">
        <v>0.50958904110000003</v>
      </c>
      <c r="M30" s="118">
        <v>-5.7377000000000001E-3</v>
      </c>
      <c r="N30" s="23"/>
      <c r="O30" s="117">
        <v>5.0164383561643797</v>
      </c>
      <c r="P30" s="118">
        <v>-3.8912880911999998E-4</v>
      </c>
      <c r="Q30" s="83"/>
      <c r="R30" s="1"/>
      <c r="S30" s="45"/>
      <c r="T30" s="23"/>
      <c r="U30" s="23"/>
      <c r="V30" s="23"/>
      <c r="W30" s="23"/>
      <c r="X30" s="23"/>
      <c r="Y30" s="23"/>
      <c r="Z30" s="83"/>
      <c r="AA30" s="1"/>
      <c r="AB30" s="45"/>
      <c r="AC30" s="27">
        <v>44546</v>
      </c>
      <c r="AD30" s="33">
        <v>0.17248459958932238</v>
      </c>
      <c r="AE30" s="146">
        <v>-5.7698091991766213E-3</v>
      </c>
      <c r="AF30" s="143">
        <v>1.0009956986084814</v>
      </c>
      <c r="AG30" s="146">
        <v>-5.5969340747399716E-3</v>
      </c>
      <c r="AH30" s="150">
        <v>1.0009658510668311</v>
      </c>
      <c r="AI30" s="202">
        <v>0.59119999999999995</v>
      </c>
      <c r="AJ30" s="131">
        <v>0.9958626641539513</v>
      </c>
      <c r="AK30" s="170">
        <v>4.1373358460486953E-3</v>
      </c>
      <c r="AL30" s="166">
        <v>4.145918300510954E-3</v>
      </c>
      <c r="AM30" s="131">
        <v>0.99991115149700327</v>
      </c>
      <c r="AN30" s="170">
        <v>8.8848502996730083E-5</v>
      </c>
      <c r="AO30" s="166">
        <v>8.8852450258780207E-5</v>
      </c>
      <c r="AP30" s="121">
        <v>22.115548358313266</v>
      </c>
      <c r="AQ30" s="121">
        <v>74185.561723437204</v>
      </c>
      <c r="AR30" s="29">
        <v>59.217232782030528</v>
      </c>
      <c r="AS30" s="28">
        <v>0</v>
      </c>
      <c r="AT30" s="29">
        <v>0</v>
      </c>
      <c r="AU30" s="153">
        <v>3.3137822852553551</v>
      </c>
      <c r="AV30" s="121">
        <v>0.51568947005751087</v>
      </c>
      <c r="AW30" s="29">
        <v>0</v>
      </c>
      <c r="AX30" s="121">
        <v>285122.47144346859</v>
      </c>
      <c r="AY30" s="28">
        <v>0</v>
      </c>
      <c r="AZ30" s="121">
        <v>285406.36749153159</v>
      </c>
      <c r="BA30" s="28">
        <v>0</v>
      </c>
      <c r="BB30" s="133"/>
      <c r="BC30" s="133">
        <v>285406.36749153159</v>
      </c>
      <c r="BD30" s="83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</row>
    <row r="31" spans="1:120" ht="15.75" thickBot="1" x14ac:dyDescent="0.3">
      <c r="A31" s="1"/>
      <c r="B31" s="1"/>
      <c r="C31" s="87"/>
      <c r="D31" s="22" t="s">
        <v>2710</v>
      </c>
      <c r="E31" s="174" t="s">
        <v>2689</v>
      </c>
      <c r="F31" s="23"/>
      <c r="G31" s="113"/>
      <c r="H31" s="215"/>
      <c r="I31" s="224"/>
      <c r="J31" s="271"/>
      <c r="K31" s="267"/>
      <c r="L31" s="117">
        <v>0.59178082190000003</v>
      </c>
      <c r="M31" s="118">
        <v>-5.7089999999999997E-3</v>
      </c>
      <c r="N31" s="23"/>
      <c r="O31" s="117">
        <v>7.0164383561643797</v>
      </c>
      <c r="P31" s="118">
        <v>2.0827726493399998E-3</v>
      </c>
      <c r="Q31" s="83"/>
      <c r="R31" s="1"/>
      <c r="S31" s="45"/>
      <c r="T31" s="23"/>
      <c r="U31" s="23"/>
      <c r="V31" s="99"/>
      <c r="W31" s="100"/>
      <c r="X31" s="23"/>
      <c r="Y31" s="23"/>
      <c r="Z31" s="83"/>
      <c r="AA31" s="1"/>
      <c r="AB31" s="45"/>
      <c r="AC31" s="27">
        <v>44561</v>
      </c>
      <c r="AD31" s="33">
        <v>0.2135523613963039</v>
      </c>
      <c r="AE31" s="146">
        <v>-5.7707964407946559E-3</v>
      </c>
      <c r="AF31" s="143">
        <v>1.0012331268835704</v>
      </c>
      <c r="AG31" s="146">
        <v>-5.5675569807229581E-3</v>
      </c>
      <c r="AH31" s="150">
        <v>1.0011896720394675</v>
      </c>
      <c r="AI31" s="202">
        <v>0.59119999999999995</v>
      </c>
      <c r="AJ31" s="131">
        <v>0.99488010984107911</v>
      </c>
      <c r="AK31" s="170">
        <v>5.1198901589208923E-3</v>
      </c>
      <c r="AL31" s="166">
        <v>5.133041705394515E-3</v>
      </c>
      <c r="AM31" s="131">
        <v>0.99988999825507718</v>
      </c>
      <c r="AN31" s="170">
        <v>1.1000174492281634E-4</v>
      </c>
      <c r="AO31" s="166">
        <v>1.1000779555848979E-4</v>
      </c>
      <c r="AP31" s="121">
        <v>172.75889923443333</v>
      </c>
      <c r="AQ31" s="121">
        <v>74185.561723437204</v>
      </c>
      <c r="AR31" s="29">
        <v>443.78690325251</v>
      </c>
      <c r="AS31" s="28">
        <v>0</v>
      </c>
      <c r="AT31" s="29">
        <v>0</v>
      </c>
      <c r="AU31" s="153">
        <v>3.6326199141851512</v>
      </c>
      <c r="AV31" s="121">
        <v>4.4140899476179527</v>
      </c>
      <c r="AW31" s="29">
        <v>0</v>
      </c>
      <c r="AX31" s="121">
        <v>297072.19285542407</v>
      </c>
      <c r="AY31" s="28">
        <v>0</v>
      </c>
      <c r="AZ31" s="121">
        <v>297438.52056279528</v>
      </c>
      <c r="BA31" s="28">
        <v>0</v>
      </c>
      <c r="BB31" s="133"/>
      <c r="BC31" s="133"/>
      <c r="BD31" s="83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</row>
    <row r="32" spans="1:120" ht="15" x14ac:dyDescent="0.25">
      <c r="A32" s="1"/>
      <c r="B32" s="1"/>
      <c r="C32" s="52"/>
      <c r="D32" s="86"/>
      <c r="E32" s="86"/>
      <c r="F32" s="23" t="s">
        <v>2688</v>
      </c>
      <c r="G32" s="113"/>
      <c r="H32" s="215"/>
      <c r="I32" s="224"/>
      <c r="J32" s="271"/>
      <c r="K32" s="267"/>
      <c r="L32" s="117">
        <v>0.68219178079999998</v>
      </c>
      <c r="M32" s="118">
        <v>-5.6902000000000003E-3</v>
      </c>
      <c r="N32" s="23"/>
      <c r="O32" s="117">
        <v>10.021917808219101</v>
      </c>
      <c r="P32" s="118">
        <v>3.87450541895E-3</v>
      </c>
      <c r="Q32" s="83"/>
      <c r="R32" s="1"/>
      <c r="S32" s="45"/>
      <c r="T32" s="23"/>
      <c r="U32" s="23"/>
      <c r="V32" s="103" t="s">
        <v>2690</v>
      </c>
      <c r="W32" s="104">
        <f>IF(Enable_CVA_K="Yes",AS18,0)/FX_CCYEUR</f>
        <v>0</v>
      </c>
      <c r="X32" s="23"/>
      <c r="Y32" s="23"/>
      <c r="Z32" s="83"/>
      <c r="AA32" s="1"/>
      <c r="AB32" s="45"/>
      <c r="AC32" s="27">
        <v>44562</v>
      </c>
      <c r="AD32" s="33">
        <v>0.216290212183436</v>
      </c>
      <c r="AE32" s="146">
        <v>-5.7708630618304784E-3</v>
      </c>
      <c r="AF32" s="143">
        <v>1.0012489604984771</v>
      </c>
      <c r="AG32" s="146">
        <v>-5.5655985077884907E-3</v>
      </c>
      <c r="AH32" s="150">
        <v>1.001204509321538</v>
      </c>
      <c r="AI32" s="202">
        <v>0.59119999999999995</v>
      </c>
      <c r="AJ32" s="131">
        <v>0.99481464069920833</v>
      </c>
      <c r="AK32" s="170">
        <v>5.1853593007916698E-3</v>
      </c>
      <c r="AL32" s="166">
        <v>5.1988499323867522E-3</v>
      </c>
      <c r="AM32" s="131">
        <v>0.99988858805485992</v>
      </c>
      <c r="AN32" s="170">
        <v>1.1141194514008301E-4</v>
      </c>
      <c r="AO32" s="166">
        <v>1.1141815191180376E-4</v>
      </c>
      <c r="AP32" s="121">
        <v>0</v>
      </c>
      <c r="AQ32" s="121">
        <v>0</v>
      </c>
      <c r="AR32" s="29">
        <v>0</v>
      </c>
      <c r="AS32" s="28">
        <v>0</v>
      </c>
      <c r="AT32" s="29">
        <v>0</v>
      </c>
      <c r="AU32" s="153">
        <v>3.6326199141851512</v>
      </c>
      <c r="AV32" s="121">
        <v>0</v>
      </c>
      <c r="AW32" s="29">
        <v>0</v>
      </c>
      <c r="AX32" s="121">
        <v>0</v>
      </c>
      <c r="AY32" s="28">
        <v>0</v>
      </c>
      <c r="AZ32" s="121">
        <v>0</v>
      </c>
      <c r="BA32" s="28">
        <v>0</v>
      </c>
      <c r="BB32" s="133"/>
      <c r="BC32" s="133">
        <v>0</v>
      </c>
      <c r="BD32" s="83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</row>
    <row r="33" spans="1:120" ht="15" x14ac:dyDescent="0.25">
      <c r="A33" s="1"/>
      <c r="B33" s="1"/>
      <c r="C33" s="52"/>
      <c r="D33" s="86"/>
      <c r="E33" s="86"/>
      <c r="F33" s="23"/>
      <c r="G33" s="113"/>
      <c r="H33" s="215"/>
      <c r="I33" s="224"/>
      <c r="J33" s="271"/>
      <c r="K33" s="267"/>
      <c r="L33" s="117">
        <v>0.75890410959999999</v>
      </c>
      <c r="M33" s="118">
        <v>-5.6611999999999999E-3</v>
      </c>
      <c r="N33" s="23"/>
      <c r="O33" s="117">
        <v>15.027397260273901</v>
      </c>
      <c r="P33" s="118">
        <v>6.9630083289999997E-3</v>
      </c>
      <c r="Q33" s="83"/>
      <c r="R33" s="1"/>
      <c r="S33" s="45"/>
      <c r="T33" s="23"/>
      <c r="U33" s="23"/>
      <c r="V33" s="101" t="s">
        <v>2691</v>
      </c>
      <c r="W33" s="102">
        <f ca="1">IF(Enable_Default_K="Yes",AQ18,0)/FX_CCYEUR</f>
        <v>85865.900116250792</v>
      </c>
      <c r="X33" s="23"/>
      <c r="Y33" s="23"/>
      <c r="Z33" s="83"/>
      <c r="AA33" s="1"/>
      <c r="AB33" s="45"/>
      <c r="AC33" s="187"/>
      <c r="AD33" s="33"/>
      <c r="AE33" s="146"/>
      <c r="AF33" s="143"/>
      <c r="AG33" s="146"/>
      <c r="AH33" s="150"/>
      <c r="AI33" s="202"/>
      <c r="AJ33" s="131"/>
      <c r="AK33" s="170"/>
      <c r="AL33" s="166"/>
      <c r="AM33" s="131"/>
      <c r="AN33" s="170"/>
      <c r="AO33" s="166"/>
      <c r="AP33" s="121"/>
      <c r="AQ33" s="121"/>
      <c r="AR33" s="29"/>
      <c r="AS33" s="28"/>
      <c r="AT33" s="29"/>
      <c r="AU33" s="153"/>
      <c r="AV33" s="121"/>
      <c r="AW33" s="29"/>
      <c r="AX33" s="121"/>
      <c r="AY33" s="28"/>
      <c r="AZ33" s="121"/>
      <c r="BA33" s="28"/>
      <c r="BB33" s="133"/>
      <c r="BC33" s="133"/>
      <c r="BD33" s="83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</row>
    <row r="34" spans="1:120" ht="15.75" thickBot="1" x14ac:dyDescent="0.3">
      <c r="A34" s="1"/>
      <c r="B34" s="1"/>
      <c r="C34" s="52"/>
      <c r="D34" s="21" t="s">
        <v>2709</v>
      </c>
      <c r="E34" s="172" t="s">
        <v>115</v>
      </c>
      <c r="F34" s="23"/>
      <c r="G34" s="113"/>
      <c r="H34" s="215"/>
      <c r="I34" s="224"/>
      <c r="J34" s="271"/>
      <c r="K34" s="267"/>
      <c r="L34" s="117">
        <v>0.84383561640000004</v>
      </c>
      <c r="M34" s="118">
        <v>-5.6322000000000004E-3</v>
      </c>
      <c r="N34" s="23"/>
      <c r="O34" s="117">
        <v>20.024657534246501</v>
      </c>
      <c r="P34" s="118">
        <v>7.6847116587199999E-3</v>
      </c>
      <c r="Q34" s="83"/>
      <c r="R34" s="1"/>
      <c r="S34" s="45"/>
      <c r="T34" s="23"/>
      <c r="U34" s="23"/>
      <c r="V34" s="99"/>
      <c r="W34" s="100"/>
      <c r="X34" s="23"/>
      <c r="Y34" s="23"/>
      <c r="Z34" s="83"/>
      <c r="AA34" s="1"/>
      <c r="AB34" s="45"/>
      <c r="AC34" s="27"/>
      <c r="AD34" s="33"/>
      <c r="AE34" s="146"/>
      <c r="AF34" s="143"/>
      <c r="AG34" s="146"/>
      <c r="AH34" s="150"/>
      <c r="AI34" s="202"/>
      <c r="AJ34" s="131"/>
      <c r="AK34" s="170"/>
      <c r="AL34" s="166"/>
      <c r="AM34" s="131"/>
      <c r="AN34" s="170"/>
      <c r="AO34" s="166"/>
      <c r="AP34" s="121"/>
      <c r="AQ34" s="121"/>
      <c r="AR34" s="29"/>
      <c r="AS34" s="28"/>
      <c r="AT34" s="29"/>
      <c r="AU34" s="153"/>
      <c r="AV34" s="121"/>
      <c r="AW34" s="29"/>
      <c r="AX34" s="121"/>
      <c r="AY34" s="28"/>
      <c r="AZ34" s="121"/>
      <c r="BA34" s="28"/>
      <c r="BB34" s="133"/>
      <c r="BC34" s="133"/>
      <c r="BD34" s="83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</row>
    <row r="35" spans="1:120" ht="15" x14ac:dyDescent="0.25">
      <c r="A35" s="1"/>
      <c r="B35" s="1"/>
      <c r="C35" s="91"/>
      <c r="D35" s="22" t="s">
        <v>2695</v>
      </c>
      <c r="E35" s="172" t="s">
        <v>115</v>
      </c>
      <c r="F35" s="23"/>
      <c r="G35" s="113"/>
      <c r="H35" s="215"/>
      <c r="I35" s="224"/>
      <c r="J35" s="271"/>
      <c r="K35" s="267"/>
      <c r="L35" s="117">
        <v>0.93150684930000005</v>
      </c>
      <c r="M35" s="118">
        <v>-5.5931000000000002E-3</v>
      </c>
      <c r="N35" s="23"/>
      <c r="O35" s="117">
        <v>25.027397260273901</v>
      </c>
      <c r="P35" s="118">
        <v>8.0729289456799996E-3</v>
      </c>
      <c r="Q35" s="83"/>
      <c r="R35" s="1"/>
      <c r="S35" s="45"/>
      <c r="T35" s="23"/>
      <c r="U35" s="23"/>
      <c r="V35" s="103" t="s">
        <v>2713</v>
      </c>
      <c r="W35" s="104">
        <f>12.5*W32</f>
        <v>0</v>
      </c>
      <c r="X35" s="23"/>
      <c r="Y35" s="23"/>
      <c r="Z35" s="83"/>
      <c r="AA35" s="1"/>
      <c r="AB35" s="45"/>
      <c r="AC35" s="27"/>
      <c r="AD35" s="33"/>
      <c r="AE35" s="146"/>
      <c r="AF35" s="143"/>
      <c r="AG35" s="146"/>
      <c r="AH35" s="150"/>
      <c r="AI35" s="202"/>
      <c r="AJ35" s="131"/>
      <c r="AK35" s="170"/>
      <c r="AL35" s="166"/>
      <c r="AM35" s="131"/>
      <c r="AN35" s="170"/>
      <c r="AO35" s="166"/>
      <c r="AP35" s="121"/>
      <c r="AQ35" s="121"/>
      <c r="AR35" s="29"/>
      <c r="AS35" s="28"/>
      <c r="AT35" s="29"/>
      <c r="AU35" s="153"/>
      <c r="AV35" s="121"/>
      <c r="AW35" s="29"/>
      <c r="AX35" s="121"/>
      <c r="AY35" s="28"/>
      <c r="AZ35" s="121"/>
      <c r="BA35" s="28"/>
      <c r="BB35" s="133"/>
      <c r="BC35" s="133"/>
      <c r="BD35" s="83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</row>
    <row r="36" spans="1:120" ht="15" x14ac:dyDescent="0.25">
      <c r="A36" s="1"/>
      <c r="B36" s="1"/>
      <c r="C36" s="45"/>
      <c r="D36" s="86"/>
      <c r="E36" s="86"/>
      <c r="F36" s="23"/>
      <c r="G36" s="113"/>
      <c r="H36" s="215"/>
      <c r="I36" s="224"/>
      <c r="J36" s="271"/>
      <c r="K36" s="23"/>
      <c r="L36" s="117">
        <v>1.0109589041</v>
      </c>
      <c r="M36" s="118">
        <v>-5.5437000000000004E-3</v>
      </c>
      <c r="N36" s="23"/>
      <c r="O36" s="119">
        <v>30.030136986301301</v>
      </c>
      <c r="P36" s="120">
        <v>8.0650375478399997E-3</v>
      </c>
      <c r="Q36" s="83"/>
      <c r="R36" s="1"/>
      <c r="S36" s="45"/>
      <c r="T36" s="23"/>
      <c r="U36" s="23"/>
      <c r="V36" s="101" t="s">
        <v>2714</v>
      </c>
      <c r="W36" s="102">
        <f ca="1">12.5*W33</f>
        <v>1073323.7514531349</v>
      </c>
      <c r="X36" s="23"/>
      <c r="Y36" s="23"/>
      <c r="Z36" s="83"/>
      <c r="AA36" s="1"/>
      <c r="AB36" s="45"/>
      <c r="AC36" s="27"/>
      <c r="AD36" s="33"/>
      <c r="AE36" s="146"/>
      <c r="AF36" s="143"/>
      <c r="AG36" s="146"/>
      <c r="AH36" s="150"/>
      <c r="AI36" s="202"/>
      <c r="AJ36" s="131"/>
      <c r="AK36" s="170"/>
      <c r="AL36" s="166"/>
      <c r="AM36" s="131"/>
      <c r="AN36" s="170"/>
      <c r="AO36" s="166"/>
      <c r="AP36" s="121"/>
      <c r="AQ36" s="121"/>
      <c r="AR36" s="29"/>
      <c r="AS36" s="28"/>
      <c r="AT36" s="29"/>
      <c r="AU36" s="153"/>
      <c r="AV36" s="121"/>
      <c r="AW36" s="29"/>
      <c r="AX36" s="121"/>
      <c r="AY36" s="28"/>
      <c r="AZ36" s="121"/>
      <c r="BA36" s="28"/>
      <c r="BB36" s="133"/>
      <c r="BC36" s="133"/>
      <c r="BD36" s="83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</row>
    <row r="37" spans="1:120" ht="15" x14ac:dyDescent="0.25">
      <c r="A37" s="1"/>
      <c r="B37" s="1"/>
      <c r="C37" s="45"/>
      <c r="D37" s="86"/>
      <c r="E37" s="86"/>
      <c r="F37" s="23"/>
      <c r="G37" s="113"/>
      <c r="H37" s="215"/>
      <c r="I37" s="224"/>
      <c r="J37" s="271"/>
      <c r="K37" s="23"/>
      <c r="L37" s="117">
        <v>1.2630136986</v>
      </c>
      <c r="M37" s="118">
        <v>-5.3899999999999998E-3</v>
      </c>
      <c r="N37" s="23"/>
      <c r="O37" s="23"/>
      <c r="P37" s="23"/>
      <c r="Q37" s="83"/>
      <c r="R37" s="1"/>
      <c r="S37" s="45"/>
      <c r="T37" s="23"/>
      <c r="U37" s="23"/>
      <c r="V37" s="23"/>
      <c r="W37" s="23"/>
      <c r="X37" s="23"/>
      <c r="Y37" s="23"/>
      <c r="Z37" s="83"/>
      <c r="AA37" s="1"/>
      <c r="AB37" s="45"/>
      <c r="AC37" s="27"/>
      <c r="AD37" s="33"/>
      <c r="AE37" s="146"/>
      <c r="AF37" s="143"/>
      <c r="AG37" s="146"/>
      <c r="AH37" s="150"/>
      <c r="AI37" s="202"/>
      <c r="AJ37" s="131"/>
      <c r="AK37" s="170"/>
      <c r="AL37" s="166"/>
      <c r="AM37" s="131"/>
      <c r="AN37" s="170"/>
      <c r="AO37" s="166"/>
      <c r="AP37" s="121"/>
      <c r="AQ37" s="121"/>
      <c r="AR37" s="29"/>
      <c r="AS37" s="28"/>
      <c r="AT37" s="29"/>
      <c r="AU37" s="153"/>
      <c r="AV37" s="121"/>
      <c r="AW37" s="29"/>
      <c r="AX37" s="121"/>
      <c r="AY37" s="28"/>
      <c r="AZ37" s="121"/>
      <c r="BA37" s="28"/>
      <c r="BB37" s="133"/>
      <c r="BC37" s="133"/>
      <c r="BD37" s="83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</row>
    <row r="38" spans="1:120" ht="15" x14ac:dyDescent="0.25">
      <c r="A38" s="1"/>
      <c r="B38" s="1"/>
      <c r="C38" s="45"/>
      <c r="D38" s="86"/>
      <c r="E38" s="86"/>
      <c r="F38" s="23"/>
      <c r="G38" s="113"/>
      <c r="H38" s="215"/>
      <c r="I38" s="224"/>
      <c r="J38" s="271"/>
      <c r="K38" s="23"/>
      <c r="L38" s="117">
        <v>1.5095890410999999</v>
      </c>
      <c r="M38" s="118">
        <v>-5.1977000000000004E-3</v>
      </c>
      <c r="N38" s="23"/>
      <c r="O38" s="23"/>
      <c r="P38" s="23"/>
      <c r="Q38" s="83"/>
      <c r="R38" s="1"/>
      <c r="S38" s="45"/>
      <c r="T38" s="23"/>
      <c r="U38" s="23"/>
      <c r="V38" s="273" t="s">
        <v>3250</v>
      </c>
      <c r="W38" s="102">
        <f>IF($H$18="",0,1.4*LGD*MAX(AX18:AX107))/FX_CCYEUR</f>
        <v>0</v>
      </c>
      <c r="X38" s="23"/>
      <c r="Y38" s="23"/>
      <c r="Z38" s="83"/>
      <c r="AA38" s="1"/>
      <c r="AB38" s="45"/>
      <c r="AC38" s="27"/>
      <c r="AD38" s="33"/>
      <c r="AE38" s="146"/>
      <c r="AF38" s="143"/>
      <c r="AG38" s="146"/>
      <c r="AH38" s="150"/>
      <c r="AI38" s="202"/>
      <c r="AJ38" s="131"/>
      <c r="AK38" s="170"/>
      <c r="AL38" s="166"/>
      <c r="AM38" s="131"/>
      <c r="AN38" s="170"/>
      <c r="AO38" s="166"/>
      <c r="AP38" s="121"/>
      <c r="AQ38" s="121"/>
      <c r="AR38" s="29"/>
      <c r="AS38" s="28"/>
      <c r="AT38" s="29"/>
      <c r="AU38" s="153"/>
      <c r="AV38" s="121"/>
      <c r="AW38" s="29"/>
      <c r="AX38" s="121"/>
      <c r="AY38" s="28"/>
      <c r="AZ38" s="121"/>
      <c r="BA38" s="28"/>
      <c r="BB38" s="133"/>
      <c r="BC38" s="133"/>
      <c r="BD38" s="83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</row>
    <row r="39" spans="1:120" ht="15" x14ac:dyDescent="0.25">
      <c r="A39" s="1"/>
      <c r="B39" s="1"/>
      <c r="C39" s="45"/>
      <c r="D39" s="21" t="s">
        <v>2707</v>
      </c>
      <c r="E39" s="172" t="s">
        <v>115</v>
      </c>
      <c r="F39" s="23"/>
      <c r="G39" s="113"/>
      <c r="H39" s="215"/>
      <c r="I39" s="224"/>
      <c r="J39" s="271"/>
      <c r="K39" s="23"/>
      <c r="L39" s="117">
        <v>1.7589041096</v>
      </c>
      <c r="M39" s="118">
        <v>-4.9251E-3</v>
      </c>
      <c r="N39" s="23"/>
      <c r="O39" s="23"/>
      <c r="P39" s="23"/>
      <c r="Q39" s="83"/>
      <c r="R39" s="1"/>
      <c r="S39" s="45"/>
      <c r="T39" s="23"/>
      <c r="U39" s="23"/>
      <c r="V39" s="23"/>
      <c r="W39" s="23"/>
      <c r="X39" s="23"/>
      <c r="Y39" s="23"/>
      <c r="Z39" s="83"/>
      <c r="AA39" s="1"/>
      <c r="AB39" s="45"/>
      <c r="AC39" s="27"/>
      <c r="AD39" s="33"/>
      <c r="AE39" s="146"/>
      <c r="AF39" s="143"/>
      <c r="AG39" s="146"/>
      <c r="AH39" s="150"/>
      <c r="AI39" s="202"/>
      <c r="AJ39" s="131"/>
      <c r="AK39" s="170"/>
      <c r="AL39" s="166"/>
      <c r="AM39" s="131"/>
      <c r="AN39" s="170"/>
      <c r="AO39" s="166"/>
      <c r="AP39" s="121"/>
      <c r="AQ39" s="121"/>
      <c r="AR39" s="29"/>
      <c r="AS39" s="28"/>
      <c r="AT39" s="29"/>
      <c r="AU39" s="153"/>
      <c r="AV39" s="121"/>
      <c r="AW39" s="29"/>
      <c r="AX39" s="121"/>
      <c r="AY39" s="28"/>
      <c r="AZ39" s="121"/>
      <c r="BA39" s="28"/>
      <c r="BB39" s="133"/>
      <c r="BC39" s="133"/>
      <c r="BD39" s="83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</row>
    <row r="40" spans="1:120" ht="15.75" thickBot="1" x14ac:dyDescent="0.3">
      <c r="A40" s="1"/>
      <c r="B40" s="1"/>
      <c r="C40" s="45"/>
      <c r="D40" s="22" t="s">
        <v>89</v>
      </c>
      <c r="E40" s="108" t="s">
        <v>120</v>
      </c>
      <c r="F40" s="23"/>
      <c r="G40" s="113"/>
      <c r="H40" s="215"/>
      <c r="I40" s="224"/>
      <c r="J40" s="271"/>
      <c r="K40" s="23"/>
      <c r="L40" s="117">
        <v>2.0109589041000002</v>
      </c>
      <c r="M40" s="118">
        <v>-4.6525000000000004E-3</v>
      </c>
      <c r="N40" s="23"/>
      <c r="O40" s="23"/>
      <c r="P40" s="136"/>
      <c r="Q40" s="83"/>
      <c r="R40" s="1"/>
      <c r="S40" s="45"/>
      <c r="T40" s="23"/>
      <c r="U40" s="23"/>
      <c r="V40" s="99"/>
      <c r="W40" s="100"/>
      <c r="X40" s="23"/>
      <c r="Y40" s="23"/>
      <c r="Z40" s="83"/>
      <c r="AA40" s="1"/>
      <c r="AB40" s="45"/>
      <c r="AC40" s="27"/>
      <c r="AD40" s="33"/>
      <c r="AE40" s="146"/>
      <c r="AF40" s="143"/>
      <c r="AG40" s="146"/>
      <c r="AH40" s="150"/>
      <c r="AI40" s="202"/>
      <c r="AJ40" s="131"/>
      <c r="AK40" s="170"/>
      <c r="AL40" s="166"/>
      <c r="AM40" s="131"/>
      <c r="AN40" s="170"/>
      <c r="AO40" s="166"/>
      <c r="AP40" s="121"/>
      <c r="AQ40" s="121"/>
      <c r="AR40" s="29"/>
      <c r="AS40" s="28"/>
      <c r="AT40" s="29"/>
      <c r="AU40" s="153"/>
      <c r="AV40" s="121"/>
      <c r="AW40" s="29"/>
      <c r="AX40" s="121"/>
      <c r="AY40" s="28"/>
      <c r="AZ40" s="121"/>
      <c r="BA40" s="28"/>
      <c r="BB40" s="133"/>
      <c r="BC40" s="133"/>
      <c r="BD40" s="83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</row>
    <row r="41" spans="1:120" ht="15" x14ac:dyDescent="0.25">
      <c r="A41" s="1"/>
      <c r="B41" s="1"/>
      <c r="C41" s="45"/>
      <c r="D41" s="22" t="s">
        <v>90</v>
      </c>
      <c r="E41" s="108" t="s">
        <v>84</v>
      </c>
      <c r="F41" s="23"/>
      <c r="G41" s="113"/>
      <c r="H41" s="215"/>
      <c r="I41" s="224"/>
      <c r="J41" s="271"/>
      <c r="K41" s="23"/>
      <c r="L41" s="117">
        <v>3.0136986300999999</v>
      </c>
      <c r="M41" s="118">
        <v>-3.6388000000000002E-3</v>
      </c>
      <c r="N41" s="23"/>
      <c r="O41" s="23"/>
      <c r="P41" s="23"/>
      <c r="Q41" s="83"/>
      <c r="R41" s="1"/>
      <c r="S41" s="45"/>
      <c r="T41" s="23"/>
      <c r="U41" s="23"/>
      <c r="V41" s="103" t="str">
        <f>"EAD change " &amp; Capital_Approach &amp; " vs CEM"</f>
        <v>EAD change IMM (proxy) vs CEM</v>
      </c>
      <c r="W41" s="274" t="str">
        <f ca="1">IF(0= DefK_t_0_CEM,"-",DefK_t_0/DefK_t_0_CEM-1)</f>
        <v>-</v>
      </c>
      <c r="X41" s="23"/>
      <c r="Y41" s="23"/>
      <c r="Z41" s="83"/>
      <c r="AA41" s="1"/>
      <c r="AB41" s="45"/>
      <c r="AC41" s="187"/>
      <c r="AD41" s="33"/>
      <c r="AE41" s="146"/>
      <c r="AF41" s="143"/>
      <c r="AG41" s="146"/>
      <c r="AH41" s="150"/>
      <c r="AI41" s="202"/>
      <c r="AJ41" s="131"/>
      <c r="AK41" s="170"/>
      <c r="AL41" s="166"/>
      <c r="AM41" s="131"/>
      <c r="AN41" s="170"/>
      <c r="AO41" s="166"/>
      <c r="AP41" s="121"/>
      <c r="AQ41" s="121"/>
      <c r="AR41" s="29"/>
      <c r="AS41" s="28"/>
      <c r="AT41" s="29"/>
      <c r="AU41" s="153"/>
      <c r="AV41" s="121"/>
      <c r="AW41" s="29"/>
      <c r="AX41" s="121"/>
      <c r="AY41" s="28"/>
      <c r="AZ41" s="121"/>
      <c r="BA41" s="28"/>
      <c r="BB41" s="133"/>
      <c r="BC41" s="133"/>
      <c r="BD41" s="83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</row>
    <row r="42" spans="1:120" ht="15" x14ac:dyDescent="0.25">
      <c r="A42" s="1"/>
      <c r="B42" s="1"/>
      <c r="C42" s="45"/>
      <c r="D42" s="22" t="s">
        <v>2711</v>
      </c>
      <c r="E42" s="110">
        <v>5</v>
      </c>
      <c r="F42" s="23"/>
      <c r="G42" s="113"/>
      <c r="H42" s="215"/>
      <c r="I42" s="224"/>
      <c r="J42" s="271"/>
      <c r="K42" s="23"/>
      <c r="L42" s="117">
        <v>4.0191780821999998</v>
      </c>
      <c r="M42" s="118">
        <v>-2.7964000000000001E-3</v>
      </c>
      <c r="N42" s="23"/>
      <c r="O42" s="23"/>
      <c r="P42" s="23"/>
      <c r="Q42" s="83"/>
      <c r="R42" s="1"/>
      <c r="S42" s="45"/>
      <c r="T42" s="23"/>
      <c r="U42" s="23"/>
      <c r="V42" s="103" t="str">
        <f>"CIC estimated (under CEM)"</f>
        <v>CIC estimated (under CEM)</v>
      </c>
      <c r="W42" s="282" t="str">
        <f ca="1">IF(0= DefK_t_0_CEM,"-",W29-(W25+W26)*W41/(1+W41))</f>
        <v>-</v>
      </c>
      <c r="X42" s="23"/>
      <c r="Y42" s="283" t="str">
        <f>IF(Notional_in_CCY=0,"",W42/Notional_in_CCY)</f>
        <v/>
      </c>
      <c r="Z42" s="83"/>
      <c r="AA42" s="1"/>
      <c r="AB42" s="45"/>
      <c r="AC42" s="27"/>
      <c r="AD42" s="33"/>
      <c r="AE42" s="146"/>
      <c r="AF42" s="143"/>
      <c r="AG42" s="146"/>
      <c r="AH42" s="150"/>
      <c r="AI42" s="202"/>
      <c r="AJ42" s="131"/>
      <c r="AK42" s="170"/>
      <c r="AL42" s="166"/>
      <c r="AM42" s="131"/>
      <c r="AN42" s="170"/>
      <c r="AO42" s="166"/>
      <c r="AP42" s="121"/>
      <c r="AQ42" s="121"/>
      <c r="AR42" s="29"/>
      <c r="AS42" s="28"/>
      <c r="AT42" s="29"/>
      <c r="AU42" s="153"/>
      <c r="AV42" s="121"/>
      <c r="AW42" s="29"/>
      <c r="AX42" s="121"/>
      <c r="AY42" s="28"/>
      <c r="AZ42" s="121"/>
      <c r="BA42" s="28"/>
      <c r="BB42" s="133"/>
      <c r="BC42" s="133"/>
      <c r="BD42" s="83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</row>
    <row r="43" spans="1:120" ht="15" x14ac:dyDescent="0.25">
      <c r="A43" s="1"/>
      <c r="B43" s="1"/>
      <c r="C43" s="45"/>
      <c r="D43" s="86"/>
      <c r="E43" s="86"/>
      <c r="F43" s="23"/>
      <c r="G43" s="113"/>
      <c r="H43" s="215"/>
      <c r="I43" s="224"/>
      <c r="J43" s="271"/>
      <c r="K43" s="23"/>
      <c r="L43" s="117">
        <v>5.0164383562000001</v>
      </c>
      <c r="M43" s="118">
        <v>-2.065E-3</v>
      </c>
      <c r="N43" s="23"/>
      <c r="O43" s="23"/>
      <c r="P43" s="23"/>
      <c r="Q43" s="83"/>
      <c r="R43" s="1"/>
      <c r="S43" s="45"/>
      <c r="T43" s="23"/>
      <c r="U43" s="23"/>
      <c r="V43" s="23"/>
      <c r="W43" s="23"/>
      <c r="X43" s="23"/>
      <c r="Y43" s="23"/>
      <c r="Z43" s="83"/>
      <c r="AA43" s="1"/>
      <c r="AB43" s="45"/>
      <c r="AC43" s="27"/>
      <c r="AD43" s="33"/>
      <c r="AE43" s="146"/>
      <c r="AF43" s="143"/>
      <c r="AG43" s="146"/>
      <c r="AH43" s="150"/>
      <c r="AI43" s="202"/>
      <c r="AJ43" s="131"/>
      <c r="AK43" s="170"/>
      <c r="AL43" s="166"/>
      <c r="AM43" s="131"/>
      <c r="AN43" s="170"/>
      <c r="AO43" s="166"/>
      <c r="AP43" s="121"/>
      <c r="AQ43" s="121"/>
      <c r="AR43" s="29"/>
      <c r="AS43" s="28"/>
      <c r="AT43" s="29"/>
      <c r="AU43" s="153"/>
      <c r="AV43" s="121"/>
      <c r="AW43" s="29"/>
      <c r="AX43" s="121"/>
      <c r="AY43" s="28"/>
      <c r="AZ43" s="121"/>
      <c r="BA43" s="28"/>
      <c r="BB43" s="133"/>
      <c r="BC43" s="133"/>
      <c r="BD43" s="83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</row>
    <row r="44" spans="1:120" ht="15" x14ac:dyDescent="0.25">
      <c r="A44" s="1"/>
      <c r="B44" s="1"/>
      <c r="C44" s="45"/>
      <c r="D44" s="21" t="s">
        <v>2708</v>
      </c>
      <c r="E44" s="172" t="s">
        <v>2689</v>
      </c>
      <c r="F44" s="23"/>
      <c r="G44" s="113"/>
      <c r="H44" s="215"/>
      <c r="I44" s="224"/>
      <c r="J44" s="271"/>
      <c r="K44" s="23"/>
      <c r="L44" s="117">
        <v>6.0136986301000004</v>
      </c>
      <c r="M44" s="118">
        <v>-1.3837999999999999E-3</v>
      </c>
      <c r="N44" s="23"/>
      <c r="O44" s="23"/>
      <c r="P44" s="23"/>
      <c r="Q44" s="83"/>
      <c r="R44" s="1"/>
      <c r="S44" s="45"/>
      <c r="T44" s="23"/>
      <c r="U44" s="23"/>
      <c r="V44" s="23"/>
      <c r="W44" s="23"/>
      <c r="X44" s="23"/>
      <c r="Y44" s="23"/>
      <c r="Z44" s="83"/>
      <c r="AA44" s="1"/>
      <c r="AB44" s="45"/>
      <c r="AC44" s="187"/>
      <c r="AD44" s="33"/>
      <c r="AE44" s="146"/>
      <c r="AF44" s="143"/>
      <c r="AG44" s="146"/>
      <c r="AH44" s="150"/>
      <c r="AI44" s="202"/>
      <c r="AJ44" s="131"/>
      <c r="AK44" s="170"/>
      <c r="AL44" s="166"/>
      <c r="AM44" s="131"/>
      <c r="AN44" s="170"/>
      <c r="AO44" s="166"/>
      <c r="AP44" s="121"/>
      <c r="AQ44" s="121"/>
      <c r="AR44" s="29"/>
      <c r="AS44" s="28"/>
      <c r="AT44" s="29"/>
      <c r="AU44" s="153"/>
      <c r="AV44" s="121"/>
      <c r="AW44" s="29"/>
      <c r="AX44" s="121"/>
      <c r="AY44" s="28"/>
      <c r="AZ44" s="121"/>
      <c r="BA44" s="28"/>
      <c r="BB44" s="133"/>
      <c r="BC44" s="133"/>
      <c r="BD44" s="83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</row>
    <row r="45" spans="1:120" ht="15" x14ac:dyDescent="0.25">
      <c r="A45" s="1"/>
      <c r="B45" s="1"/>
      <c r="C45" s="45"/>
      <c r="D45" s="22" t="s">
        <v>2705</v>
      </c>
      <c r="E45" s="173">
        <v>0.51395769999999996</v>
      </c>
      <c r="F45" s="23"/>
      <c r="G45" s="113"/>
      <c r="H45" s="215"/>
      <c r="I45" s="224"/>
      <c r="J45" s="271"/>
      <c r="K45" s="23"/>
      <c r="L45" s="117">
        <v>7.0164383562000001</v>
      </c>
      <c r="M45" s="118">
        <v>-7.1182999999999999E-4</v>
      </c>
      <c r="N45" s="23"/>
      <c r="O45" s="23"/>
      <c r="P45" s="23"/>
      <c r="Q45" s="83"/>
      <c r="R45" s="1"/>
      <c r="S45" s="45"/>
      <c r="T45" s="23"/>
      <c r="U45" s="23"/>
      <c r="V45" s="23"/>
      <c r="W45" s="23"/>
      <c r="X45" s="23"/>
      <c r="Y45" s="23"/>
      <c r="Z45" s="83"/>
      <c r="AA45" s="1"/>
      <c r="AB45" s="45"/>
      <c r="AC45" s="27"/>
      <c r="AD45" s="33"/>
      <c r="AE45" s="146"/>
      <c r="AF45" s="143"/>
      <c r="AG45" s="146"/>
      <c r="AH45" s="150"/>
      <c r="AI45" s="202"/>
      <c r="AJ45" s="131"/>
      <c r="AK45" s="170"/>
      <c r="AL45" s="166"/>
      <c r="AM45" s="131"/>
      <c r="AN45" s="170"/>
      <c r="AO45" s="166"/>
      <c r="AP45" s="121"/>
      <c r="AQ45" s="121"/>
      <c r="AR45" s="29"/>
      <c r="AS45" s="28"/>
      <c r="AT45" s="29"/>
      <c r="AU45" s="153"/>
      <c r="AV45" s="121"/>
      <c r="AW45" s="29"/>
      <c r="AX45" s="121"/>
      <c r="AY45" s="28"/>
      <c r="AZ45" s="121"/>
      <c r="BA45" s="28"/>
      <c r="BB45" s="133"/>
      <c r="BC45" s="133"/>
      <c r="BD45" s="83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</row>
    <row r="46" spans="1:120" ht="15" x14ac:dyDescent="0.25">
      <c r="A46" s="1"/>
      <c r="B46" s="1"/>
      <c r="C46" s="45"/>
      <c r="D46" s="139"/>
      <c r="E46" s="9"/>
      <c r="G46" s="113"/>
      <c r="H46" s="215"/>
      <c r="I46" s="224"/>
      <c r="J46" s="271"/>
      <c r="K46" s="23"/>
      <c r="L46" s="117">
        <v>8.0164383562000001</v>
      </c>
      <c r="M46" s="118">
        <v>-7.928E-5</v>
      </c>
      <c r="N46" s="23"/>
      <c r="O46" s="23"/>
      <c r="P46" s="23"/>
      <c r="Q46" s="83"/>
      <c r="R46" s="1"/>
      <c r="S46" s="45"/>
      <c r="T46" s="23"/>
      <c r="U46" s="23"/>
      <c r="V46" s="23"/>
      <c r="W46" s="23"/>
      <c r="X46" s="23"/>
      <c r="Y46" s="23"/>
      <c r="Z46" s="83"/>
      <c r="AA46" s="1"/>
      <c r="AB46" s="45"/>
      <c r="AC46" s="187"/>
      <c r="AD46" s="33"/>
      <c r="AE46" s="146"/>
      <c r="AF46" s="143"/>
      <c r="AG46" s="146"/>
      <c r="AH46" s="150"/>
      <c r="AI46" s="202"/>
      <c r="AJ46" s="131"/>
      <c r="AK46" s="170"/>
      <c r="AL46" s="166"/>
      <c r="AM46" s="131"/>
      <c r="AN46" s="170"/>
      <c r="AO46" s="166"/>
      <c r="AP46" s="121"/>
      <c r="AQ46" s="121"/>
      <c r="AR46" s="29"/>
      <c r="AS46" s="28"/>
      <c r="AT46" s="29"/>
      <c r="AU46" s="153"/>
      <c r="AV46" s="121"/>
      <c r="AW46" s="29"/>
      <c r="AX46" s="121"/>
      <c r="AY46" s="28"/>
      <c r="AZ46" s="121"/>
      <c r="BA46" s="28"/>
      <c r="BB46" s="133"/>
      <c r="BC46" s="133"/>
      <c r="BD46" s="83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</row>
    <row r="47" spans="1:120" ht="15" x14ac:dyDescent="0.25">
      <c r="A47" s="1"/>
      <c r="B47" s="1"/>
      <c r="C47" s="45"/>
      <c r="D47" s="86"/>
      <c r="E47" s="86"/>
      <c r="F47" s="23"/>
      <c r="G47" s="113"/>
      <c r="H47" s="215"/>
      <c r="I47" s="224"/>
      <c r="J47" s="271"/>
      <c r="K47" s="23"/>
      <c r="L47" s="117">
        <v>9.0164383562000001</v>
      </c>
      <c r="M47" s="118">
        <v>5.2417000000000002E-4</v>
      </c>
      <c r="N47" s="23"/>
      <c r="O47" s="23"/>
      <c r="P47" s="23"/>
      <c r="Q47" s="83"/>
      <c r="R47" s="1"/>
      <c r="S47" s="45"/>
      <c r="T47" s="23"/>
      <c r="U47" s="23"/>
      <c r="V47" s="23"/>
      <c r="W47" s="23"/>
      <c r="X47" s="23"/>
      <c r="Y47" s="23"/>
      <c r="Z47" s="83"/>
      <c r="AA47" s="1"/>
      <c r="AB47" s="45"/>
      <c r="AC47" s="27"/>
      <c r="AD47" s="33"/>
      <c r="AE47" s="146"/>
      <c r="AF47" s="143"/>
      <c r="AG47" s="146"/>
      <c r="AH47" s="150"/>
      <c r="AI47" s="202"/>
      <c r="AJ47" s="131"/>
      <c r="AK47" s="170"/>
      <c r="AL47" s="166"/>
      <c r="AM47" s="131"/>
      <c r="AN47" s="170"/>
      <c r="AO47" s="166"/>
      <c r="AP47" s="121"/>
      <c r="AQ47" s="121"/>
      <c r="AR47" s="29"/>
      <c r="AS47" s="28"/>
      <c r="AT47" s="29"/>
      <c r="AU47" s="153"/>
      <c r="AV47" s="121"/>
      <c r="AW47" s="29"/>
      <c r="AX47" s="121"/>
      <c r="AY47" s="28"/>
      <c r="AZ47" s="121"/>
      <c r="BA47" s="28"/>
      <c r="BB47" s="133"/>
      <c r="BC47" s="133"/>
      <c r="BD47" s="83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</row>
    <row r="48" spans="1:120" ht="15" x14ac:dyDescent="0.25">
      <c r="A48" s="1"/>
      <c r="B48" s="1"/>
      <c r="C48" s="45"/>
      <c r="D48" s="21" t="s">
        <v>43</v>
      </c>
      <c r="E48" s="112">
        <v>6.5000000000000002E-2</v>
      </c>
      <c r="G48" s="113"/>
      <c r="H48" s="215"/>
      <c r="I48" s="224"/>
      <c r="J48" s="271"/>
      <c r="K48" s="23"/>
      <c r="L48" s="117">
        <v>10.0219178082</v>
      </c>
      <c r="M48" s="118">
        <v>1.0678E-3</v>
      </c>
      <c r="N48" s="23"/>
      <c r="O48" s="23"/>
      <c r="P48" s="23"/>
      <c r="Q48" s="83"/>
      <c r="R48" s="1"/>
      <c r="S48" s="45"/>
      <c r="T48" s="23"/>
      <c r="U48" s="23"/>
      <c r="V48" s="23"/>
      <c r="W48" s="23"/>
      <c r="X48" s="23"/>
      <c r="Y48" s="23"/>
      <c r="Z48" s="83"/>
      <c r="AA48" s="1"/>
      <c r="AB48" s="45"/>
      <c r="AC48" s="187"/>
      <c r="AD48" s="33"/>
      <c r="AE48" s="146"/>
      <c r="AF48" s="143"/>
      <c r="AG48" s="146"/>
      <c r="AH48" s="150"/>
      <c r="AI48" s="202"/>
      <c r="AJ48" s="131"/>
      <c r="AK48" s="170"/>
      <c r="AL48" s="166"/>
      <c r="AM48" s="131"/>
      <c r="AN48" s="170"/>
      <c r="AO48" s="166"/>
      <c r="AP48" s="121"/>
      <c r="AQ48" s="121"/>
      <c r="AR48" s="29"/>
      <c r="AS48" s="28"/>
      <c r="AT48" s="29"/>
      <c r="AU48" s="153"/>
      <c r="AV48" s="121"/>
      <c r="AW48" s="29"/>
      <c r="AX48" s="121"/>
      <c r="AY48" s="28"/>
      <c r="AZ48" s="121"/>
      <c r="BA48" s="28"/>
      <c r="BB48" s="133"/>
      <c r="BC48" s="133"/>
      <c r="BD48" s="83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</row>
    <row r="49" spans="1:120" ht="15" x14ac:dyDescent="0.25">
      <c r="A49" s="1"/>
      <c r="B49" s="1"/>
      <c r="C49" s="45"/>
      <c r="D49" s="89"/>
      <c r="E49" s="86"/>
      <c r="F49" s="23"/>
      <c r="G49" s="113"/>
      <c r="H49" s="215"/>
      <c r="I49" s="224"/>
      <c r="J49" s="271"/>
      <c r="K49" s="23"/>
      <c r="L49" s="117">
        <v>11.0191780822</v>
      </c>
      <c r="M49" s="118">
        <v>1.5717999999999999E-3</v>
      </c>
      <c r="N49" s="23"/>
      <c r="O49" s="23"/>
      <c r="P49" s="23"/>
      <c r="Q49" s="83"/>
      <c r="R49" s="1"/>
      <c r="S49" s="45"/>
      <c r="T49" s="23"/>
      <c r="U49" s="23"/>
      <c r="V49" s="23"/>
      <c r="W49" s="23"/>
      <c r="X49" s="23"/>
      <c r="Y49" s="23"/>
      <c r="Z49" s="83"/>
      <c r="AA49" s="1"/>
      <c r="AB49" s="45"/>
      <c r="AC49" s="27"/>
      <c r="AD49" s="33"/>
      <c r="AE49" s="146"/>
      <c r="AF49" s="143"/>
      <c r="AG49" s="146"/>
      <c r="AH49" s="150"/>
      <c r="AI49" s="202"/>
      <c r="AJ49" s="131"/>
      <c r="AK49" s="170"/>
      <c r="AL49" s="166"/>
      <c r="AM49" s="131"/>
      <c r="AN49" s="170"/>
      <c r="AO49" s="166"/>
      <c r="AP49" s="121"/>
      <c r="AQ49" s="121"/>
      <c r="AR49" s="29"/>
      <c r="AS49" s="28"/>
      <c r="AT49" s="29"/>
      <c r="AU49" s="153"/>
      <c r="AV49" s="121"/>
      <c r="AW49" s="29"/>
      <c r="AX49" s="121"/>
      <c r="AY49" s="28"/>
      <c r="AZ49" s="121"/>
      <c r="BA49" s="28"/>
      <c r="BB49" s="133"/>
      <c r="BC49" s="133"/>
      <c r="BD49" s="83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</row>
    <row r="50" spans="1:120" ht="15" x14ac:dyDescent="0.25">
      <c r="A50" s="1"/>
      <c r="B50" s="1"/>
      <c r="C50" s="45"/>
      <c r="D50" s="86"/>
      <c r="E50" s="86"/>
      <c r="F50" s="23"/>
      <c r="G50" s="113"/>
      <c r="H50" s="215"/>
      <c r="I50" s="224"/>
      <c r="J50" s="271"/>
      <c r="K50" s="23"/>
      <c r="L50" s="117">
        <v>12.0191780822</v>
      </c>
      <c r="M50" s="118">
        <v>2.0360999999999999E-3</v>
      </c>
      <c r="N50" s="23"/>
      <c r="O50" s="23"/>
      <c r="P50" s="23"/>
      <c r="Q50" s="83"/>
      <c r="R50" s="1"/>
      <c r="S50" s="45"/>
      <c r="T50" s="23"/>
      <c r="U50" s="23"/>
      <c r="V50" s="23"/>
      <c r="W50" s="23"/>
      <c r="X50" s="23"/>
      <c r="Y50" s="23"/>
      <c r="Z50" s="83"/>
      <c r="AA50" s="1"/>
      <c r="AB50" s="45"/>
      <c r="AC50" s="27"/>
      <c r="AD50" s="33"/>
      <c r="AE50" s="146"/>
      <c r="AF50" s="143"/>
      <c r="AG50" s="146"/>
      <c r="AH50" s="150"/>
      <c r="AI50" s="202"/>
      <c r="AJ50" s="131"/>
      <c r="AK50" s="170"/>
      <c r="AL50" s="166"/>
      <c r="AM50" s="131"/>
      <c r="AN50" s="170"/>
      <c r="AO50" s="166"/>
      <c r="AP50" s="121"/>
      <c r="AQ50" s="121"/>
      <c r="AR50" s="29"/>
      <c r="AS50" s="28"/>
      <c r="AT50" s="29"/>
      <c r="AU50" s="153"/>
      <c r="AV50" s="121"/>
      <c r="AW50" s="29"/>
      <c r="AX50" s="121"/>
      <c r="AY50" s="28"/>
      <c r="AZ50" s="121"/>
      <c r="BA50" s="28"/>
      <c r="BB50" s="133"/>
      <c r="BC50" s="133"/>
      <c r="BD50" s="83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</row>
    <row r="51" spans="1:120" ht="15" x14ac:dyDescent="0.25">
      <c r="A51" s="1"/>
      <c r="B51" s="1"/>
      <c r="C51" s="45"/>
      <c r="D51" s="21" t="s">
        <v>3241</v>
      </c>
      <c r="E51" s="172" t="s">
        <v>2689</v>
      </c>
      <c r="F51" s="23"/>
      <c r="G51" s="113"/>
      <c r="H51" s="215"/>
      <c r="I51" s="224"/>
      <c r="J51" s="271"/>
      <c r="K51" s="23"/>
      <c r="L51" s="117">
        <v>13.0191780822</v>
      </c>
      <c r="M51" s="118">
        <v>2.4634000000000001E-3</v>
      </c>
      <c r="N51" s="23"/>
      <c r="O51" s="23"/>
      <c r="P51" s="23"/>
      <c r="Q51" s="83"/>
      <c r="R51" s="1"/>
      <c r="S51" s="45"/>
      <c r="T51" s="23"/>
      <c r="U51" s="23"/>
      <c r="V51" s="23"/>
      <c r="W51" s="23"/>
      <c r="X51" s="23"/>
      <c r="Y51" s="23"/>
      <c r="Z51" s="83"/>
      <c r="AA51" s="1"/>
      <c r="AB51" s="45"/>
      <c r="AC51" s="27"/>
      <c r="AD51" s="33"/>
      <c r="AE51" s="146"/>
      <c r="AF51" s="143"/>
      <c r="AG51" s="146"/>
      <c r="AH51" s="150"/>
      <c r="AI51" s="202"/>
      <c r="AJ51" s="131"/>
      <c r="AK51" s="170"/>
      <c r="AL51" s="166"/>
      <c r="AM51" s="131"/>
      <c r="AN51" s="170"/>
      <c r="AO51" s="166"/>
      <c r="AP51" s="121"/>
      <c r="AQ51" s="121"/>
      <c r="AR51" s="29"/>
      <c r="AS51" s="28"/>
      <c r="AT51" s="29"/>
      <c r="AU51" s="153"/>
      <c r="AV51" s="121"/>
      <c r="AW51" s="29"/>
      <c r="AX51" s="121"/>
      <c r="AY51" s="28"/>
      <c r="AZ51" s="121"/>
      <c r="BA51" s="28"/>
      <c r="BB51" s="133"/>
      <c r="BC51" s="133"/>
      <c r="BD51" s="83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</row>
    <row r="52" spans="1:120" ht="15" x14ac:dyDescent="0.25">
      <c r="A52" s="1"/>
      <c r="B52" s="1"/>
      <c r="C52" s="45"/>
      <c r="D52" s="22" t="s">
        <v>3242</v>
      </c>
      <c r="E52" s="109">
        <v>10</v>
      </c>
      <c r="F52" s="23"/>
      <c r="G52" s="113"/>
      <c r="H52" s="215"/>
      <c r="I52" s="224"/>
      <c r="J52" s="271"/>
      <c r="K52" s="23"/>
      <c r="L52" s="117">
        <v>14.0191780822</v>
      </c>
      <c r="M52" s="118">
        <v>2.8506E-3</v>
      </c>
      <c r="N52" s="23"/>
      <c r="O52" s="23"/>
      <c r="P52" s="23"/>
      <c r="Q52" s="83"/>
      <c r="R52" s="1"/>
      <c r="S52" s="45"/>
      <c r="T52" s="23"/>
      <c r="U52" s="23"/>
      <c r="V52" s="23"/>
      <c r="W52" s="23"/>
      <c r="X52" s="23"/>
      <c r="Y52" s="23"/>
      <c r="Z52" s="83"/>
      <c r="AA52" s="1"/>
      <c r="AB52" s="45"/>
      <c r="AC52" s="27"/>
      <c r="AD52" s="33"/>
      <c r="AE52" s="146"/>
      <c r="AF52" s="143"/>
      <c r="AG52" s="146"/>
      <c r="AH52" s="150"/>
      <c r="AI52" s="202"/>
      <c r="AJ52" s="131"/>
      <c r="AK52" s="170"/>
      <c r="AL52" s="166"/>
      <c r="AM52" s="131"/>
      <c r="AN52" s="170"/>
      <c r="AO52" s="166"/>
      <c r="AP52" s="121"/>
      <c r="AQ52" s="121"/>
      <c r="AR52" s="29"/>
      <c r="AS52" s="28"/>
      <c r="AT52" s="29"/>
      <c r="AU52" s="153"/>
      <c r="AV52" s="121"/>
      <c r="AW52" s="29"/>
      <c r="AX52" s="121"/>
      <c r="AY52" s="28"/>
      <c r="AZ52" s="121"/>
      <c r="BA52" s="28"/>
      <c r="BB52" s="133"/>
      <c r="BC52" s="133"/>
      <c r="BD52" s="83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</row>
    <row r="53" spans="1:120" ht="15" x14ac:dyDescent="0.25">
      <c r="A53" s="1"/>
      <c r="B53" s="1"/>
      <c r="C53" s="45"/>
      <c r="D53" s="22" t="s">
        <v>3268</v>
      </c>
      <c r="E53" s="109">
        <v>500000</v>
      </c>
      <c r="F53" s="23"/>
      <c r="G53" s="113"/>
      <c r="H53" s="215"/>
      <c r="I53" s="224"/>
      <c r="J53" s="271"/>
      <c r="K53" s="23"/>
      <c r="L53" s="117">
        <v>15.027397260300001</v>
      </c>
      <c r="M53" s="118">
        <v>3.1670999999999999E-3</v>
      </c>
      <c r="N53" s="23"/>
      <c r="O53" s="23"/>
      <c r="P53" s="23"/>
      <c r="Q53" s="83"/>
      <c r="R53" s="1"/>
      <c r="S53" s="45"/>
      <c r="T53" s="23"/>
      <c r="U53" s="23"/>
      <c r="V53" s="23"/>
      <c r="W53" s="23"/>
      <c r="X53" s="23"/>
      <c r="Y53" s="23"/>
      <c r="Z53" s="83"/>
      <c r="AA53" s="1"/>
      <c r="AB53" s="45"/>
      <c r="AC53" s="27"/>
      <c r="AD53" s="33"/>
      <c r="AE53" s="146"/>
      <c r="AF53" s="143"/>
      <c r="AG53" s="146"/>
      <c r="AH53" s="150"/>
      <c r="AI53" s="202"/>
      <c r="AJ53" s="131"/>
      <c r="AK53" s="170"/>
      <c r="AL53" s="166"/>
      <c r="AM53" s="131"/>
      <c r="AN53" s="170"/>
      <c r="AO53" s="166"/>
      <c r="AP53" s="121"/>
      <c r="AQ53" s="121"/>
      <c r="AR53" s="29"/>
      <c r="AS53" s="28"/>
      <c r="AT53" s="29"/>
      <c r="AU53" s="153"/>
      <c r="AV53" s="121"/>
      <c r="AW53" s="29"/>
      <c r="AX53" s="121"/>
      <c r="AY53" s="28"/>
      <c r="AZ53" s="121"/>
      <c r="BA53" s="28"/>
      <c r="BB53" s="133"/>
      <c r="BC53" s="133"/>
      <c r="BD53" s="83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</row>
    <row r="54" spans="1:120" ht="15" x14ac:dyDescent="0.25">
      <c r="A54" s="1"/>
      <c r="B54" s="1"/>
      <c r="C54" s="45"/>
      <c r="D54" s="139"/>
      <c r="E54" s="9"/>
      <c r="F54" s="23"/>
      <c r="G54" s="113"/>
      <c r="H54" s="215"/>
      <c r="I54" s="224"/>
      <c r="J54" s="271"/>
      <c r="K54" s="23"/>
      <c r="L54" s="117">
        <v>16.024657534199999</v>
      </c>
      <c r="M54" s="118">
        <v>3.4133000000000002E-3</v>
      </c>
      <c r="N54" s="23"/>
      <c r="O54" s="23"/>
      <c r="P54" s="23"/>
      <c r="Q54" s="83"/>
      <c r="R54" s="1"/>
      <c r="S54" s="45"/>
      <c r="T54" s="23"/>
      <c r="U54" s="23"/>
      <c r="V54" s="23"/>
      <c r="W54" s="23"/>
      <c r="X54" s="23"/>
      <c r="Y54" s="23"/>
      <c r="Z54" s="83"/>
      <c r="AA54" s="1"/>
      <c r="AB54" s="45"/>
      <c r="AC54" s="27"/>
      <c r="AD54" s="33"/>
      <c r="AE54" s="146"/>
      <c r="AF54" s="143"/>
      <c r="AG54" s="146"/>
      <c r="AH54" s="150"/>
      <c r="AI54" s="202"/>
      <c r="AJ54" s="131"/>
      <c r="AK54" s="170"/>
      <c r="AL54" s="166"/>
      <c r="AM54" s="131"/>
      <c r="AN54" s="170"/>
      <c r="AO54" s="166"/>
      <c r="AP54" s="121"/>
      <c r="AQ54" s="121"/>
      <c r="AR54" s="29"/>
      <c r="AS54" s="28"/>
      <c r="AT54" s="29"/>
      <c r="AU54" s="153"/>
      <c r="AV54" s="121"/>
      <c r="AW54" s="29"/>
      <c r="AX54" s="121"/>
      <c r="AY54" s="28"/>
      <c r="AZ54" s="121"/>
      <c r="BA54" s="28"/>
      <c r="BB54" s="133"/>
      <c r="BC54" s="133"/>
      <c r="BD54" s="83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</row>
    <row r="55" spans="1:120" ht="15" x14ac:dyDescent="0.25">
      <c r="A55" s="1"/>
      <c r="B55" s="1"/>
      <c r="C55" s="45"/>
      <c r="D55" s="21" t="s">
        <v>3267</v>
      </c>
      <c r="E55" s="109">
        <v>0</v>
      </c>
      <c r="F55" s="23"/>
      <c r="G55" s="113"/>
      <c r="H55" s="215"/>
      <c r="I55" s="224"/>
      <c r="J55" s="271"/>
      <c r="K55" s="23"/>
      <c r="L55" s="117">
        <v>17.021917808200001</v>
      </c>
      <c r="M55" s="118">
        <v>3.6208E-3</v>
      </c>
      <c r="N55" s="23"/>
      <c r="O55" s="23"/>
      <c r="P55" s="23"/>
      <c r="Q55" s="83"/>
      <c r="R55" s="1"/>
      <c r="S55" s="45"/>
      <c r="T55" s="23"/>
      <c r="U55" s="23"/>
      <c r="V55" s="23"/>
      <c r="W55" s="23"/>
      <c r="X55" s="23"/>
      <c r="Y55" s="23"/>
      <c r="Z55" s="83"/>
      <c r="AA55" s="1"/>
      <c r="AB55" s="45"/>
      <c r="AC55" s="27"/>
      <c r="AD55" s="33"/>
      <c r="AE55" s="146"/>
      <c r="AF55" s="143"/>
      <c r="AG55" s="146"/>
      <c r="AH55" s="150"/>
      <c r="AI55" s="202"/>
      <c r="AJ55" s="131"/>
      <c r="AK55" s="170"/>
      <c r="AL55" s="166"/>
      <c r="AM55" s="131"/>
      <c r="AN55" s="170"/>
      <c r="AO55" s="166"/>
      <c r="AP55" s="121"/>
      <c r="AQ55" s="121"/>
      <c r="AR55" s="29"/>
      <c r="AS55" s="28"/>
      <c r="AT55" s="29"/>
      <c r="AU55" s="153"/>
      <c r="AV55" s="121"/>
      <c r="AW55" s="29"/>
      <c r="AX55" s="121"/>
      <c r="AY55" s="28"/>
      <c r="AZ55" s="121"/>
      <c r="BA55" s="28"/>
      <c r="BB55" s="133"/>
      <c r="BC55" s="133"/>
      <c r="BD55" s="83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</row>
    <row r="56" spans="1:120" ht="15" x14ac:dyDescent="0.25">
      <c r="A56" s="1"/>
      <c r="B56" s="1"/>
      <c r="C56" s="45"/>
      <c r="D56" s="86"/>
      <c r="E56" s="86"/>
      <c r="F56" s="23"/>
      <c r="G56" s="113"/>
      <c r="H56" s="215"/>
      <c r="I56" s="224"/>
      <c r="J56" s="271"/>
      <c r="K56" s="23"/>
      <c r="L56" s="117">
        <v>18.021917808200001</v>
      </c>
      <c r="M56" s="118">
        <v>3.7897999999999999E-3</v>
      </c>
      <c r="N56" s="23"/>
      <c r="O56" s="23"/>
      <c r="P56" s="23"/>
      <c r="Q56" s="83"/>
      <c r="R56" s="1"/>
      <c r="S56" s="45"/>
      <c r="T56" s="23"/>
      <c r="U56" s="23"/>
      <c r="V56" s="23"/>
      <c r="W56" s="23"/>
      <c r="X56" s="23"/>
      <c r="Y56" s="23"/>
      <c r="Z56" s="83"/>
      <c r="AA56" s="1"/>
      <c r="AB56" s="45"/>
      <c r="AC56" s="27"/>
      <c r="AD56" s="33"/>
      <c r="AE56" s="146"/>
      <c r="AF56" s="143"/>
      <c r="AG56" s="146"/>
      <c r="AH56" s="150"/>
      <c r="AI56" s="202"/>
      <c r="AJ56" s="131"/>
      <c r="AK56" s="170"/>
      <c r="AL56" s="166"/>
      <c r="AM56" s="131"/>
      <c r="AN56" s="170"/>
      <c r="AO56" s="166"/>
      <c r="AP56" s="121"/>
      <c r="AQ56" s="121"/>
      <c r="AR56" s="29"/>
      <c r="AS56" s="28"/>
      <c r="AT56" s="29"/>
      <c r="AU56" s="153"/>
      <c r="AV56" s="121"/>
      <c r="AW56" s="29"/>
      <c r="AX56" s="121"/>
      <c r="AY56" s="28"/>
      <c r="AZ56" s="121"/>
      <c r="BA56" s="28"/>
      <c r="BB56" s="133"/>
      <c r="BC56" s="133"/>
      <c r="BD56" s="83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</row>
    <row r="57" spans="1:120" ht="15" x14ac:dyDescent="0.25">
      <c r="A57" s="1"/>
      <c r="B57" s="1"/>
      <c r="C57" s="45"/>
      <c r="D57" s="86"/>
      <c r="E57" s="86"/>
      <c r="F57" s="23"/>
      <c r="G57" s="113"/>
      <c r="H57" s="114"/>
      <c r="I57" s="224"/>
      <c r="J57" s="271"/>
      <c r="K57" s="23"/>
      <c r="L57" s="117">
        <v>19.024657534199999</v>
      </c>
      <c r="M57" s="118">
        <v>3.9194E-3</v>
      </c>
      <c r="N57" s="23"/>
      <c r="O57" s="23"/>
      <c r="P57" s="23"/>
      <c r="Q57" s="83"/>
      <c r="R57" s="1"/>
      <c r="S57" s="45"/>
      <c r="T57" s="23"/>
      <c r="U57" s="23"/>
      <c r="V57" s="23"/>
      <c r="W57" s="23"/>
      <c r="X57" s="23"/>
      <c r="Y57" s="23"/>
      <c r="Z57" s="83"/>
      <c r="AA57" s="1"/>
      <c r="AB57" s="45"/>
      <c r="AC57" s="27"/>
      <c r="AD57" s="33"/>
      <c r="AE57" s="146"/>
      <c r="AF57" s="143"/>
      <c r="AG57" s="146"/>
      <c r="AH57" s="150"/>
      <c r="AI57" s="202"/>
      <c r="AJ57" s="131"/>
      <c r="AK57" s="170"/>
      <c r="AL57" s="166"/>
      <c r="AM57" s="131"/>
      <c r="AN57" s="170"/>
      <c r="AO57" s="166"/>
      <c r="AP57" s="121"/>
      <c r="AQ57" s="121"/>
      <c r="AR57" s="29"/>
      <c r="AS57" s="28"/>
      <c r="AT57" s="29"/>
      <c r="AU57" s="153"/>
      <c r="AV57" s="121"/>
      <c r="AW57" s="29"/>
      <c r="AX57" s="121"/>
      <c r="AY57" s="28"/>
      <c r="AZ57" s="121"/>
      <c r="BA57" s="28"/>
      <c r="BB57" s="133"/>
      <c r="BC57" s="133"/>
      <c r="BD57" s="83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</row>
    <row r="58" spans="1:120" ht="15" x14ac:dyDescent="0.25">
      <c r="A58" s="1"/>
      <c r="B58" s="1"/>
      <c r="C58" s="45"/>
      <c r="D58" s="21" t="s">
        <v>3192</v>
      </c>
      <c r="E58" s="172" t="s">
        <v>3269</v>
      </c>
      <c r="F58" s="23"/>
      <c r="G58" s="113"/>
      <c r="H58" s="114"/>
      <c r="I58" s="224"/>
      <c r="J58" s="271"/>
      <c r="K58" s="23"/>
      <c r="L58" s="117">
        <v>20.024657534199999</v>
      </c>
      <c r="M58" s="118">
        <v>4.0086999999999996E-3</v>
      </c>
      <c r="N58" s="23"/>
      <c r="O58" s="23"/>
      <c r="P58" s="23"/>
      <c r="Q58" s="83"/>
      <c r="R58" s="1"/>
      <c r="S58" s="45"/>
      <c r="T58" s="23"/>
      <c r="U58" s="23"/>
      <c r="V58" s="23"/>
      <c r="W58" s="23"/>
      <c r="X58" s="23"/>
      <c r="Y58" s="23"/>
      <c r="Z58" s="83"/>
      <c r="AA58" s="1"/>
      <c r="AB58" s="45"/>
      <c r="AC58" s="27"/>
      <c r="AD58" s="33"/>
      <c r="AE58" s="146"/>
      <c r="AF58" s="143"/>
      <c r="AG58" s="146"/>
      <c r="AH58" s="150"/>
      <c r="AI58" s="202"/>
      <c r="AJ58" s="131"/>
      <c r="AK58" s="170"/>
      <c r="AL58" s="166"/>
      <c r="AM58" s="131"/>
      <c r="AN58" s="170"/>
      <c r="AO58" s="166"/>
      <c r="AP58" s="121"/>
      <c r="AQ58" s="121"/>
      <c r="AR58" s="29"/>
      <c r="AS58" s="28"/>
      <c r="AT58" s="29"/>
      <c r="AU58" s="153"/>
      <c r="AV58" s="121"/>
      <c r="AW58" s="29"/>
      <c r="AX58" s="121"/>
      <c r="AY58" s="28"/>
      <c r="AZ58" s="121"/>
      <c r="BA58" s="28"/>
      <c r="BB58" s="133"/>
      <c r="BC58" s="133"/>
      <c r="BD58" s="83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</row>
    <row r="59" spans="1:120" ht="15" x14ac:dyDescent="0.25">
      <c r="A59" s="1"/>
      <c r="B59" s="1"/>
      <c r="C59" s="45"/>
      <c r="D59" s="86"/>
      <c r="E59" s="86"/>
      <c r="F59" s="23"/>
      <c r="G59" s="113"/>
      <c r="H59" s="114"/>
      <c r="I59" s="224"/>
      <c r="J59" s="271"/>
      <c r="K59" s="23"/>
      <c r="L59" s="117">
        <v>21.030136986300001</v>
      </c>
      <c r="M59" s="118">
        <v>4.0588000000000004E-3</v>
      </c>
      <c r="N59" s="23"/>
      <c r="O59" s="23"/>
      <c r="P59" s="23"/>
      <c r="Q59" s="83"/>
      <c r="R59" s="1"/>
      <c r="S59" s="45"/>
      <c r="T59" s="23"/>
      <c r="U59" s="23"/>
      <c r="V59" s="23"/>
      <c r="W59" s="23"/>
      <c r="X59" s="23"/>
      <c r="Y59" s="23"/>
      <c r="Z59" s="83"/>
      <c r="AA59" s="1"/>
      <c r="AB59" s="45"/>
      <c r="AC59" s="27"/>
      <c r="AD59" s="33"/>
      <c r="AE59" s="146"/>
      <c r="AF59" s="143"/>
      <c r="AG59" s="146"/>
      <c r="AH59" s="150"/>
      <c r="AI59" s="202"/>
      <c r="AJ59" s="131"/>
      <c r="AK59" s="170"/>
      <c r="AL59" s="166"/>
      <c r="AM59" s="131"/>
      <c r="AN59" s="170"/>
      <c r="AO59" s="166"/>
      <c r="AP59" s="121"/>
      <c r="AQ59" s="121"/>
      <c r="AR59" s="29"/>
      <c r="AS59" s="28"/>
      <c r="AT59" s="29"/>
      <c r="AU59" s="153"/>
      <c r="AV59" s="121"/>
      <c r="AW59" s="29"/>
      <c r="AX59" s="121"/>
      <c r="AY59" s="28"/>
      <c r="AZ59" s="121"/>
      <c r="BA59" s="28"/>
      <c r="BB59" s="133"/>
      <c r="BC59" s="133"/>
      <c r="BD59" s="83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</row>
    <row r="60" spans="1:120" ht="15" x14ac:dyDescent="0.25">
      <c r="A60" s="1"/>
      <c r="B60" s="1"/>
      <c r="C60" s="45"/>
      <c r="D60" s="205" t="s">
        <v>2920</v>
      </c>
      <c r="E60" s="206" t="s">
        <v>2689</v>
      </c>
      <c r="F60" s="23"/>
      <c r="G60" s="113"/>
      <c r="H60" s="114"/>
      <c r="I60" s="224"/>
      <c r="J60" s="271"/>
      <c r="K60" s="23"/>
      <c r="L60" s="117">
        <v>22.027397260299999</v>
      </c>
      <c r="M60" s="118">
        <v>4.0734999999999999E-3</v>
      </c>
      <c r="N60" s="23"/>
      <c r="O60" s="23"/>
      <c r="P60" s="23"/>
      <c r="Q60" s="83"/>
      <c r="R60" s="1"/>
      <c r="S60" s="45"/>
      <c r="T60" s="23"/>
      <c r="U60" s="23"/>
      <c r="V60" s="23"/>
      <c r="W60" s="23"/>
      <c r="X60" s="23"/>
      <c r="Y60" s="23"/>
      <c r="Z60" s="83"/>
      <c r="AA60" s="1"/>
      <c r="AB60" s="45"/>
      <c r="AC60" s="27"/>
      <c r="AD60" s="33"/>
      <c r="AE60" s="146"/>
      <c r="AF60" s="143"/>
      <c r="AG60" s="146"/>
      <c r="AH60" s="150"/>
      <c r="AI60" s="202"/>
      <c r="AJ60" s="131"/>
      <c r="AK60" s="170"/>
      <c r="AL60" s="166"/>
      <c r="AM60" s="131"/>
      <c r="AN60" s="170"/>
      <c r="AO60" s="166"/>
      <c r="AP60" s="121"/>
      <c r="AQ60" s="121"/>
      <c r="AR60" s="29"/>
      <c r="AS60" s="28"/>
      <c r="AT60" s="29"/>
      <c r="AU60" s="153"/>
      <c r="AV60" s="121"/>
      <c r="AW60" s="29"/>
      <c r="AX60" s="121"/>
      <c r="AY60" s="28"/>
      <c r="AZ60" s="121"/>
      <c r="BA60" s="28"/>
      <c r="BB60" s="133"/>
      <c r="BC60" s="133"/>
      <c r="BD60" s="83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</row>
    <row r="61" spans="1:120" ht="15" x14ac:dyDescent="0.25">
      <c r="A61" s="1"/>
      <c r="B61" s="1"/>
      <c r="C61" s="45"/>
      <c r="D61" s="22" t="s">
        <v>3188</v>
      </c>
      <c r="E61" s="109" t="s">
        <v>3171</v>
      </c>
      <c r="F61" s="23"/>
      <c r="G61" s="113"/>
      <c r="H61" s="114"/>
      <c r="I61" s="224"/>
      <c r="J61" s="271"/>
      <c r="K61" s="23"/>
      <c r="L61" s="117">
        <v>23.027397260299999</v>
      </c>
      <c r="M61" s="118">
        <v>4.0587000000000002E-3</v>
      </c>
      <c r="N61" s="23"/>
      <c r="O61" s="23"/>
      <c r="P61" s="23"/>
      <c r="Q61" s="83"/>
      <c r="R61" s="1"/>
      <c r="S61" s="45"/>
      <c r="T61" s="23"/>
      <c r="U61" s="23"/>
      <c r="V61" s="23"/>
      <c r="W61" s="23"/>
      <c r="X61" s="23"/>
      <c r="Y61" s="23"/>
      <c r="Z61" s="83"/>
      <c r="AA61" s="1"/>
      <c r="AB61" s="45"/>
      <c r="AC61" s="27"/>
      <c r="AD61" s="33"/>
      <c r="AE61" s="146"/>
      <c r="AF61" s="143"/>
      <c r="AG61" s="146"/>
      <c r="AH61" s="150"/>
      <c r="AI61" s="202"/>
      <c r="AJ61" s="131"/>
      <c r="AK61" s="170"/>
      <c r="AL61" s="166"/>
      <c r="AM61" s="131"/>
      <c r="AN61" s="170"/>
      <c r="AO61" s="166"/>
      <c r="AP61" s="121"/>
      <c r="AQ61" s="121"/>
      <c r="AR61" s="29"/>
      <c r="AS61" s="28"/>
      <c r="AT61" s="29"/>
      <c r="AU61" s="153"/>
      <c r="AV61" s="121"/>
      <c r="AW61" s="29"/>
      <c r="AX61" s="121"/>
      <c r="AY61" s="28"/>
      <c r="AZ61" s="121"/>
      <c r="BA61" s="28"/>
      <c r="BB61" s="133"/>
      <c r="BC61" s="133"/>
      <c r="BD61" s="83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</row>
    <row r="62" spans="1:120" ht="15" x14ac:dyDescent="0.25">
      <c r="A62" s="1"/>
      <c r="B62" s="1"/>
      <c r="C62" s="45"/>
      <c r="D62" s="22" t="s">
        <v>2921</v>
      </c>
      <c r="E62" s="109" t="s">
        <v>2923</v>
      </c>
      <c r="F62" s="23"/>
      <c r="G62" s="113"/>
      <c r="H62" s="114"/>
      <c r="I62" s="224"/>
      <c r="J62" s="271"/>
      <c r="K62" s="23"/>
      <c r="L62" s="117">
        <v>24.027397260299999</v>
      </c>
      <c r="M62" s="118">
        <v>4.0194999999999996E-3</v>
      </c>
      <c r="N62" s="23"/>
      <c r="O62" s="23"/>
      <c r="P62" s="23"/>
      <c r="Q62" s="83"/>
      <c r="R62" s="1"/>
      <c r="S62" s="45"/>
      <c r="T62" s="23"/>
      <c r="U62" s="23"/>
      <c r="V62" s="23"/>
      <c r="W62" s="23"/>
      <c r="X62" s="23"/>
      <c r="Y62" s="23"/>
      <c r="Z62" s="83"/>
      <c r="AA62" s="1"/>
      <c r="AB62" s="45"/>
      <c r="AC62" s="27"/>
      <c r="AD62" s="33"/>
      <c r="AE62" s="146"/>
      <c r="AF62" s="143"/>
      <c r="AG62" s="146"/>
      <c r="AH62" s="150"/>
      <c r="AI62" s="202"/>
      <c r="AJ62" s="131"/>
      <c r="AK62" s="170"/>
      <c r="AL62" s="166"/>
      <c r="AM62" s="131"/>
      <c r="AN62" s="170"/>
      <c r="AO62" s="166"/>
      <c r="AP62" s="121"/>
      <c r="AQ62" s="121"/>
      <c r="AR62" s="29"/>
      <c r="AS62" s="28"/>
      <c r="AT62" s="29"/>
      <c r="AU62" s="153"/>
      <c r="AV62" s="121"/>
      <c r="AW62" s="29"/>
      <c r="AX62" s="121"/>
      <c r="AY62" s="28"/>
      <c r="AZ62" s="121"/>
      <c r="BA62" s="28"/>
      <c r="BB62" s="133"/>
      <c r="BC62" s="133"/>
      <c r="BD62" s="83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</row>
    <row r="63" spans="1:120" ht="15" x14ac:dyDescent="0.25">
      <c r="A63" s="1"/>
      <c r="B63" s="1"/>
      <c r="C63" s="45"/>
      <c r="D63" s="139"/>
      <c r="E63" s="9"/>
      <c r="F63" s="23"/>
      <c r="G63" s="113"/>
      <c r="H63" s="114"/>
      <c r="I63" s="224"/>
      <c r="J63" s="271"/>
      <c r="K63" s="23"/>
      <c r="L63" s="117">
        <v>25.027397260299999</v>
      </c>
      <c r="M63" s="118">
        <v>3.9611999999999998E-3</v>
      </c>
      <c r="N63" s="23"/>
      <c r="O63" s="23"/>
      <c r="P63" s="23"/>
      <c r="Q63" s="83"/>
      <c r="R63" s="1"/>
      <c r="S63" s="45"/>
      <c r="T63" s="23"/>
      <c r="U63" s="23"/>
      <c r="V63" s="23"/>
      <c r="W63" s="23"/>
      <c r="X63" s="23"/>
      <c r="Y63" s="23"/>
      <c r="Z63" s="83"/>
      <c r="AA63" s="1"/>
      <c r="AB63" s="45"/>
      <c r="AC63" s="27"/>
      <c r="AD63" s="33"/>
      <c r="AE63" s="146"/>
      <c r="AF63" s="143"/>
      <c r="AG63" s="146"/>
      <c r="AH63" s="150"/>
      <c r="AI63" s="202"/>
      <c r="AJ63" s="131"/>
      <c r="AK63" s="170"/>
      <c r="AL63" s="166"/>
      <c r="AM63" s="131"/>
      <c r="AN63" s="170"/>
      <c r="AO63" s="166"/>
      <c r="AP63" s="121"/>
      <c r="AQ63" s="121"/>
      <c r="AR63" s="29"/>
      <c r="AS63" s="28"/>
      <c r="AT63" s="29"/>
      <c r="AU63" s="153"/>
      <c r="AV63" s="121"/>
      <c r="AW63" s="29"/>
      <c r="AX63" s="121"/>
      <c r="AY63" s="28"/>
      <c r="AZ63" s="121"/>
      <c r="BA63" s="28"/>
      <c r="BB63" s="133"/>
      <c r="BC63" s="133"/>
      <c r="BD63" s="83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</row>
    <row r="64" spans="1:120" ht="15" x14ac:dyDescent="0.25">
      <c r="A64" s="1"/>
      <c r="B64" s="1"/>
      <c r="C64" s="45"/>
      <c r="D64" s="233" t="s">
        <v>3235</v>
      </c>
      <c r="E64" s="9"/>
      <c r="F64" s="23"/>
      <c r="G64" s="113"/>
      <c r="H64" s="114"/>
      <c r="I64" s="224"/>
      <c r="J64" s="271"/>
      <c r="K64" s="23"/>
      <c r="L64" s="117">
        <v>26.027397260299999</v>
      </c>
      <c r="M64" s="118">
        <v>3.8890000000000001E-3</v>
      </c>
      <c r="N64" s="23"/>
      <c r="O64" s="23"/>
      <c r="P64" s="23"/>
      <c r="Q64" s="83"/>
      <c r="R64" s="1"/>
      <c r="S64" s="45"/>
      <c r="T64" s="23"/>
      <c r="U64" s="23"/>
      <c r="V64" s="23"/>
      <c r="W64" s="23"/>
      <c r="X64" s="23"/>
      <c r="Y64" s="23"/>
      <c r="Z64" s="83"/>
      <c r="AA64" s="1"/>
      <c r="AB64" s="45"/>
      <c r="AC64" s="27"/>
      <c r="AD64" s="33"/>
      <c r="AE64" s="146"/>
      <c r="AF64" s="143"/>
      <c r="AG64" s="146"/>
      <c r="AH64" s="150"/>
      <c r="AI64" s="202"/>
      <c r="AJ64" s="131"/>
      <c r="AK64" s="170"/>
      <c r="AL64" s="166"/>
      <c r="AM64" s="131"/>
      <c r="AN64" s="170"/>
      <c r="AO64" s="166"/>
      <c r="AP64" s="121"/>
      <c r="AQ64" s="121"/>
      <c r="AR64" s="29"/>
      <c r="AS64" s="28"/>
      <c r="AT64" s="29"/>
      <c r="AU64" s="153"/>
      <c r="AV64" s="121"/>
      <c r="AW64" s="29"/>
      <c r="AX64" s="121"/>
      <c r="AY64" s="28"/>
      <c r="AZ64" s="121"/>
      <c r="BA64" s="28"/>
      <c r="BB64" s="133"/>
      <c r="BC64" s="133"/>
      <c r="BD64" s="83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</row>
    <row r="65" spans="1:120" ht="15" x14ac:dyDescent="0.25">
      <c r="A65" s="1"/>
      <c r="B65" s="1"/>
      <c r="C65" s="45"/>
      <c r="D65" s="22" t="s">
        <v>3266</v>
      </c>
      <c r="E65" s="109">
        <f>Notional_in_CCY</f>
        <v>0</v>
      </c>
      <c r="F65" s="23"/>
      <c r="G65" s="113"/>
      <c r="H65" s="114"/>
      <c r="I65" s="224"/>
      <c r="J65" s="271"/>
      <c r="K65" s="23"/>
      <c r="L65" s="117">
        <v>27.032876712299998</v>
      </c>
      <c r="M65" s="118">
        <v>3.8067000000000001E-3</v>
      </c>
      <c r="N65" s="23"/>
      <c r="O65" s="23"/>
      <c r="P65" s="23"/>
      <c r="Q65" s="83"/>
      <c r="R65" s="1"/>
      <c r="S65" s="45"/>
      <c r="T65" s="23"/>
      <c r="U65" s="23"/>
      <c r="V65" s="23"/>
      <c r="W65" s="23"/>
      <c r="X65" s="23"/>
      <c r="Y65" s="23"/>
      <c r="Z65" s="83"/>
      <c r="AA65" s="1"/>
      <c r="AB65" s="45"/>
      <c r="AC65" s="27"/>
      <c r="AD65" s="33"/>
      <c r="AE65" s="146"/>
      <c r="AF65" s="143"/>
      <c r="AG65" s="146"/>
      <c r="AH65" s="150"/>
      <c r="AI65" s="202"/>
      <c r="AJ65" s="131"/>
      <c r="AK65" s="170"/>
      <c r="AL65" s="166"/>
      <c r="AM65" s="131"/>
      <c r="AN65" s="170"/>
      <c r="AO65" s="166"/>
      <c r="AP65" s="121"/>
      <c r="AQ65" s="121"/>
      <c r="AR65" s="29"/>
      <c r="AS65" s="28"/>
      <c r="AT65" s="29"/>
      <c r="AU65" s="153"/>
      <c r="AV65" s="121"/>
      <c r="AW65" s="29"/>
      <c r="AX65" s="121"/>
      <c r="AY65" s="28"/>
      <c r="AZ65" s="121"/>
      <c r="BA65" s="28"/>
      <c r="BB65" s="133"/>
      <c r="BC65" s="133"/>
      <c r="BD65" s="83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</row>
    <row r="66" spans="1:120" ht="15" x14ac:dyDescent="0.25">
      <c r="A66" s="1"/>
      <c r="B66" s="1"/>
      <c r="C66" s="45"/>
      <c r="D66" s="22" t="s">
        <v>3222</v>
      </c>
      <c r="E66" s="140">
        <f ca="1">AsOfDate</f>
        <v>44491</v>
      </c>
      <c r="F66" s="23"/>
      <c r="G66" s="113"/>
      <c r="H66" s="114"/>
      <c r="I66" s="224"/>
      <c r="J66" s="271"/>
      <c r="K66" s="23"/>
      <c r="L66" s="117">
        <v>28.030136986300001</v>
      </c>
      <c r="M66" s="118">
        <v>3.7196E-3</v>
      </c>
      <c r="N66" s="23"/>
      <c r="O66" s="23"/>
      <c r="P66" s="23"/>
      <c r="Q66" s="83"/>
      <c r="R66" s="1"/>
      <c r="S66" s="45"/>
      <c r="T66" s="23"/>
      <c r="U66" s="23"/>
      <c r="V66" s="23"/>
      <c r="W66" s="23"/>
      <c r="X66" s="23"/>
      <c r="Y66" s="23"/>
      <c r="Z66" s="83"/>
      <c r="AA66" s="1"/>
      <c r="AB66" s="45"/>
      <c r="AC66" s="27"/>
      <c r="AD66" s="33"/>
      <c r="AE66" s="146"/>
      <c r="AF66" s="143"/>
      <c r="AG66" s="146"/>
      <c r="AH66" s="150"/>
      <c r="AI66" s="202"/>
      <c r="AJ66" s="131"/>
      <c r="AK66" s="170"/>
      <c r="AL66" s="166"/>
      <c r="AM66" s="131"/>
      <c r="AN66" s="170"/>
      <c r="AO66" s="166"/>
      <c r="AP66" s="121"/>
      <c r="AQ66" s="121"/>
      <c r="AR66" s="29"/>
      <c r="AS66" s="28"/>
      <c r="AT66" s="29"/>
      <c r="AU66" s="153"/>
      <c r="AV66" s="121"/>
      <c r="AW66" s="29"/>
      <c r="AX66" s="121"/>
      <c r="AY66" s="28"/>
      <c r="AZ66" s="121"/>
      <c r="BA66" s="28"/>
      <c r="BB66" s="133"/>
      <c r="BC66" s="133"/>
      <c r="BD66" s="83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</row>
    <row r="67" spans="1:120" ht="15" x14ac:dyDescent="0.25">
      <c r="A67" s="1"/>
      <c r="B67" s="1"/>
      <c r="C67" s="45"/>
      <c r="D67" s="22" t="s">
        <v>3238</v>
      </c>
      <c r="E67" s="140">
        <f ca="1">Maturity</f>
        <v>44491</v>
      </c>
      <c r="F67" s="23"/>
      <c r="G67" s="113"/>
      <c r="H67" s="114"/>
      <c r="I67" s="224"/>
      <c r="J67" s="271"/>
      <c r="K67" s="23"/>
      <c r="L67" s="117">
        <v>29.030136986300001</v>
      </c>
      <c r="M67" s="118">
        <v>3.6310000000000001E-3</v>
      </c>
      <c r="N67" s="23"/>
      <c r="O67" s="23"/>
      <c r="P67" s="23"/>
      <c r="Q67" s="83"/>
      <c r="R67" s="1"/>
      <c r="S67" s="45"/>
      <c r="T67" s="23"/>
      <c r="U67" s="23"/>
      <c r="V67" s="23"/>
      <c r="W67" s="23"/>
      <c r="X67" s="23"/>
      <c r="Y67" s="23"/>
      <c r="Z67" s="83"/>
      <c r="AA67" s="1"/>
      <c r="AB67" s="45"/>
      <c r="AC67" s="27"/>
      <c r="AD67" s="33"/>
      <c r="AE67" s="146"/>
      <c r="AF67" s="143"/>
      <c r="AG67" s="146"/>
      <c r="AH67" s="150"/>
      <c r="AI67" s="202"/>
      <c r="AJ67" s="131"/>
      <c r="AK67" s="170"/>
      <c r="AL67" s="166"/>
      <c r="AM67" s="131"/>
      <c r="AN67" s="170"/>
      <c r="AO67" s="166"/>
      <c r="AP67" s="121"/>
      <c r="AQ67" s="121"/>
      <c r="AR67" s="29"/>
      <c r="AS67" s="28"/>
      <c r="AT67" s="29"/>
      <c r="AU67" s="153"/>
      <c r="AV67" s="121"/>
      <c r="AW67" s="29"/>
      <c r="AX67" s="121"/>
      <c r="AY67" s="28"/>
      <c r="AZ67" s="121"/>
      <c r="BA67" s="28"/>
      <c r="BB67" s="133"/>
      <c r="BC67" s="133"/>
      <c r="BD67" s="83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</row>
    <row r="68" spans="1:120" ht="15" x14ac:dyDescent="0.25">
      <c r="A68" s="1"/>
      <c r="B68" s="1"/>
      <c r="C68" s="45"/>
      <c r="D68" s="22" t="s">
        <v>3248</v>
      </c>
      <c r="E68" s="172" t="s">
        <v>2689</v>
      </c>
      <c r="F68" s="23"/>
      <c r="G68" s="113"/>
      <c r="H68" s="114"/>
      <c r="I68" s="224"/>
      <c r="J68" s="271"/>
      <c r="K68" s="23"/>
      <c r="L68" s="117">
        <v>30.030136986300001</v>
      </c>
      <c r="M68" s="118">
        <v>3.5452000000000001E-3</v>
      </c>
      <c r="N68" s="23"/>
      <c r="O68" s="23"/>
      <c r="P68" s="23"/>
      <c r="Q68" s="83"/>
      <c r="R68" s="1"/>
      <c r="S68" s="45"/>
      <c r="T68" s="23"/>
      <c r="U68" s="23"/>
      <c r="V68" s="23"/>
      <c r="W68" s="23"/>
      <c r="X68" s="23"/>
      <c r="Y68" s="23"/>
      <c r="Z68" s="83"/>
      <c r="AA68" s="1"/>
      <c r="AB68" s="45"/>
      <c r="AC68" s="27"/>
      <c r="AD68" s="33"/>
      <c r="AE68" s="146"/>
      <c r="AF68" s="143"/>
      <c r="AG68" s="146"/>
      <c r="AH68" s="150"/>
      <c r="AI68" s="202"/>
      <c r="AJ68" s="131"/>
      <c r="AK68" s="170"/>
      <c r="AL68" s="166"/>
      <c r="AM68" s="131"/>
      <c r="AN68" s="170"/>
      <c r="AO68" s="166"/>
      <c r="AP68" s="121"/>
      <c r="AQ68" s="121"/>
      <c r="AR68" s="29"/>
      <c r="AS68" s="28"/>
      <c r="AT68" s="29"/>
      <c r="AU68" s="153"/>
      <c r="AV68" s="121"/>
      <c r="AW68" s="29"/>
      <c r="AX68" s="121"/>
      <c r="AY68" s="28"/>
      <c r="AZ68" s="121"/>
      <c r="BA68" s="28"/>
      <c r="BB68" s="133"/>
      <c r="BC68" s="133"/>
      <c r="BD68" s="83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</row>
    <row r="69" spans="1:120" ht="15" x14ac:dyDescent="0.25">
      <c r="A69" s="1"/>
      <c r="B69" s="1"/>
      <c r="C69" s="87"/>
      <c r="D69" s="22" t="s">
        <v>3236</v>
      </c>
      <c r="E69" s="172" t="s">
        <v>2689</v>
      </c>
      <c r="F69" s="23"/>
      <c r="G69" s="113"/>
      <c r="H69" s="114"/>
      <c r="I69" s="224"/>
      <c r="J69" s="271"/>
      <c r="K69" s="23"/>
      <c r="L69" s="117">
        <v>31.032876712299998</v>
      </c>
      <c r="M69" s="118">
        <v>3.4629000000000001E-3</v>
      </c>
      <c r="N69" s="23"/>
      <c r="O69" s="23"/>
      <c r="P69" s="23"/>
      <c r="Q69" s="83"/>
      <c r="R69" s="1"/>
      <c r="S69" s="45"/>
      <c r="T69" s="23"/>
      <c r="U69" s="23"/>
      <c r="V69" s="23"/>
      <c r="W69" s="23"/>
      <c r="X69" s="23"/>
      <c r="Y69" s="23"/>
      <c r="Z69" s="83"/>
      <c r="AA69" s="1"/>
      <c r="AB69" s="45"/>
      <c r="AC69" s="27"/>
      <c r="AD69" s="33"/>
      <c r="AE69" s="146"/>
      <c r="AF69" s="143"/>
      <c r="AG69" s="146"/>
      <c r="AH69" s="150"/>
      <c r="AI69" s="202"/>
      <c r="AJ69" s="131"/>
      <c r="AK69" s="170"/>
      <c r="AL69" s="166"/>
      <c r="AM69" s="131"/>
      <c r="AN69" s="170"/>
      <c r="AO69" s="166"/>
      <c r="AP69" s="121"/>
      <c r="AQ69" s="121"/>
      <c r="AR69" s="29"/>
      <c r="AS69" s="28"/>
      <c r="AT69" s="29"/>
      <c r="AU69" s="153"/>
      <c r="AV69" s="121"/>
      <c r="AW69" s="29"/>
      <c r="AX69" s="121"/>
      <c r="AY69" s="28"/>
      <c r="AZ69" s="121"/>
      <c r="BA69" s="28"/>
      <c r="BB69" s="133"/>
      <c r="BC69" s="133"/>
      <c r="BD69" s="83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</row>
    <row r="70" spans="1:120" ht="15" x14ac:dyDescent="0.25">
      <c r="A70" s="1"/>
      <c r="B70" s="1"/>
      <c r="C70" s="52"/>
      <c r="D70" s="22" t="s">
        <v>3243</v>
      </c>
      <c r="E70" s="108" t="s">
        <v>3244</v>
      </c>
      <c r="F70" s="23"/>
      <c r="G70" s="113"/>
      <c r="H70" s="114"/>
      <c r="I70" s="224"/>
      <c r="J70" s="271"/>
      <c r="K70" s="23"/>
      <c r="L70" s="117">
        <v>32.0383561644</v>
      </c>
      <c r="M70" s="118">
        <v>3.3822000000000001E-3</v>
      </c>
      <c r="N70" s="23"/>
      <c r="O70" s="23"/>
      <c r="P70" s="23"/>
      <c r="Q70" s="83"/>
      <c r="R70" s="1"/>
      <c r="S70" s="45"/>
      <c r="T70" s="23"/>
      <c r="U70" s="23"/>
      <c r="V70" s="23"/>
      <c r="W70" s="23"/>
      <c r="X70" s="23"/>
      <c r="Y70" s="23"/>
      <c r="Z70" s="83"/>
      <c r="AA70" s="1"/>
      <c r="AB70" s="45"/>
      <c r="AC70" s="27"/>
      <c r="AD70" s="33"/>
      <c r="AE70" s="146"/>
      <c r="AF70" s="143"/>
      <c r="AG70" s="146"/>
      <c r="AH70" s="150"/>
      <c r="AI70" s="202"/>
      <c r="AJ70" s="131"/>
      <c r="AK70" s="170"/>
      <c r="AL70" s="166"/>
      <c r="AM70" s="131"/>
      <c r="AN70" s="170"/>
      <c r="AO70" s="166"/>
      <c r="AP70" s="121"/>
      <c r="AQ70" s="121"/>
      <c r="AR70" s="29"/>
      <c r="AS70" s="28"/>
      <c r="AT70" s="29"/>
      <c r="AU70" s="153"/>
      <c r="AV70" s="121"/>
      <c r="AW70" s="29"/>
      <c r="AX70" s="121"/>
      <c r="AY70" s="28"/>
      <c r="AZ70" s="121"/>
      <c r="BA70" s="28"/>
      <c r="BB70" s="133"/>
      <c r="BC70" s="133"/>
      <c r="BD70" s="83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</row>
    <row r="71" spans="1:120" ht="15" x14ac:dyDescent="0.25">
      <c r="A71" s="1"/>
      <c r="B71" s="1"/>
      <c r="C71" s="87"/>
      <c r="D71" s="22" t="s">
        <v>3211</v>
      </c>
      <c r="E71" s="227">
        <v>1</v>
      </c>
      <c r="F71" s="23"/>
      <c r="G71" s="113"/>
      <c r="H71" s="114"/>
      <c r="I71" s="224"/>
      <c r="J71" s="271"/>
      <c r="K71" s="23"/>
      <c r="L71" s="117">
        <v>33.035616438399998</v>
      </c>
      <c r="M71" s="118">
        <v>3.3037000000000001E-3</v>
      </c>
      <c r="N71" s="23"/>
      <c r="O71" s="23"/>
      <c r="P71" s="23"/>
      <c r="Q71" s="83"/>
      <c r="R71" s="1"/>
      <c r="S71" s="45"/>
      <c r="T71" s="23"/>
      <c r="U71" s="23"/>
      <c r="V71" s="23"/>
      <c r="W71" s="23"/>
      <c r="X71" s="23"/>
      <c r="Y71" s="23"/>
      <c r="Z71" s="83"/>
      <c r="AA71" s="1"/>
      <c r="AB71" s="45"/>
      <c r="AC71" s="27"/>
      <c r="AD71" s="33"/>
      <c r="AE71" s="146"/>
      <c r="AF71" s="143"/>
      <c r="AG71" s="146"/>
      <c r="AH71" s="150"/>
      <c r="AI71" s="202"/>
      <c r="AJ71" s="131"/>
      <c r="AK71" s="170"/>
      <c r="AL71" s="166"/>
      <c r="AM71" s="131"/>
      <c r="AN71" s="170"/>
      <c r="AO71" s="166"/>
      <c r="AP71" s="121"/>
      <c r="AQ71" s="121"/>
      <c r="AR71" s="29"/>
      <c r="AS71" s="28"/>
      <c r="AT71" s="29"/>
      <c r="AU71" s="153"/>
      <c r="AV71" s="121"/>
      <c r="AW71" s="29"/>
      <c r="AX71" s="121"/>
      <c r="AY71" s="28"/>
      <c r="AZ71" s="121"/>
      <c r="BA71" s="28"/>
      <c r="BB71" s="133"/>
      <c r="BC71" s="133"/>
      <c r="BD71" s="83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</row>
    <row r="72" spans="1:120" ht="15" x14ac:dyDescent="0.25">
      <c r="A72" s="1"/>
      <c r="B72" s="1"/>
      <c r="C72" s="52"/>
      <c r="D72" s="22" t="s">
        <v>3265</v>
      </c>
      <c r="E72" s="140">
        <f ca="1">AVERAGE(Regulatory_Start_Date,Maturity)</f>
        <v>44491</v>
      </c>
      <c r="F72" s="23"/>
      <c r="G72" s="113"/>
      <c r="H72" s="114"/>
      <c r="I72" s="224"/>
      <c r="J72" s="271"/>
      <c r="K72" s="23"/>
      <c r="L72" s="117">
        <v>34.032876712300002</v>
      </c>
      <c r="M72" s="118">
        <v>3.2269E-3</v>
      </c>
      <c r="N72" s="23"/>
      <c r="O72" s="23"/>
      <c r="P72" s="23"/>
      <c r="Q72" s="83"/>
      <c r="R72" s="1"/>
      <c r="S72" s="45"/>
      <c r="T72" s="23"/>
      <c r="U72" s="23"/>
      <c r="V72" s="23"/>
      <c r="W72" s="23"/>
      <c r="X72" s="23"/>
      <c r="Y72" s="23"/>
      <c r="Z72" s="83"/>
      <c r="AA72" s="1"/>
      <c r="AB72" s="45"/>
      <c r="AC72" s="27"/>
      <c r="AD72" s="33"/>
      <c r="AE72" s="146"/>
      <c r="AF72" s="143"/>
      <c r="AG72" s="146"/>
      <c r="AH72" s="150"/>
      <c r="AI72" s="202"/>
      <c r="AJ72" s="131"/>
      <c r="AK72" s="170"/>
      <c r="AL72" s="166"/>
      <c r="AM72" s="131"/>
      <c r="AN72" s="170"/>
      <c r="AO72" s="166"/>
      <c r="AP72" s="121"/>
      <c r="AQ72" s="121"/>
      <c r="AR72" s="29"/>
      <c r="AS72" s="28"/>
      <c r="AT72" s="29"/>
      <c r="AU72" s="153"/>
      <c r="AV72" s="121"/>
      <c r="AW72" s="29"/>
      <c r="AX72" s="121"/>
      <c r="AY72" s="28"/>
      <c r="AZ72" s="121"/>
      <c r="BA72" s="28"/>
      <c r="BB72" s="133"/>
      <c r="BC72" s="133"/>
      <c r="BD72" s="83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</row>
    <row r="73" spans="1:120" ht="15" x14ac:dyDescent="0.25">
      <c r="A73" s="1"/>
      <c r="B73" s="1"/>
      <c r="C73" s="52"/>
      <c r="D73" s="139"/>
      <c r="E73" s="9"/>
      <c r="F73" s="23"/>
      <c r="G73" s="113"/>
      <c r="H73" s="114"/>
      <c r="I73" s="224"/>
      <c r="J73" s="271"/>
      <c r="K73" s="23"/>
      <c r="L73" s="117">
        <v>35.035616438399998</v>
      </c>
      <c r="M73" s="118">
        <v>3.1511999999999998E-3</v>
      </c>
      <c r="N73" s="23"/>
      <c r="O73" s="23"/>
      <c r="P73" s="23"/>
      <c r="Q73" s="83"/>
      <c r="R73" s="1"/>
      <c r="S73" s="45"/>
      <c r="T73" s="23"/>
      <c r="U73" s="23"/>
      <c r="V73" s="23"/>
      <c r="W73" s="23"/>
      <c r="X73" s="23"/>
      <c r="Y73" s="23"/>
      <c r="Z73" s="83"/>
      <c r="AA73" s="1"/>
      <c r="AB73" s="45"/>
      <c r="AC73" s="27"/>
      <c r="AD73" s="33"/>
      <c r="AE73" s="146"/>
      <c r="AF73" s="143"/>
      <c r="AG73" s="146"/>
      <c r="AH73" s="150"/>
      <c r="AI73" s="202"/>
      <c r="AJ73" s="131"/>
      <c r="AK73" s="170"/>
      <c r="AL73" s="166"/>
      <c r="AM73" s="131"/>
      <c r="AN73" s="170"/>
      <c r="AO73" s="166"/>
      <c r="AP73" s="121"/>
      <c r="AQ73" s="121"/>
      <c r="AR73" s="29"/>
      <c r="AS73" s="28"/>
      <c r="AT73" s="29"/>
      <c r="AU73" s="153"/>
      <c r="AV73" s="121"/>
      <c r="AW73" s="29"/>
      <c r="AX73" s="121"/>
      <c r="AY73" s="28"/>
      <c r="AZ73" s="121"/>
      <c r="BA73" s="28"/>
      <c r="BB73" s="133"/>
      <c r="BC73" s="133"/>
      <c r="BD73" s="83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</row>
    <row r="74" spans="1:120" ht="15" x14ac:dyDescent="0.25">
      <c r="A74" s="1"/>
      <c r="B74" s="1"/>
      <c r="C74" s="52"/>
      <c r="D74" s="233" t="s">
        <v>3221</v>
      </c>
      <c r="F74" s="23"/>
      <c r="G74" s="113"/>
      <c r="H74" s="114"/>
      <c r="I74" s="224"/>
      <c r="J74" s="271"/>
      <c r="K74" s="23"/>
      <c r="L74" s="117">
        <v>36.035616438399998</v>
      </c>
      <c r="M74" s="118">
        <v>3.0774000000000001E-3</v>
      </c>
      <c r="N74" s="23"/>
      <c r="O74" s="23"/>
      <c r="P74" s="23"/>
      <c r="Q74" s="83"/>
      <c r="R74" s="1"/>
      <c r="S74" s="45"/>
      <c r="T74" s="23"/>
      <c r="U74" s="23"/>
      <c r="V74" s="23"/>
      <c r="W74" s="23"/>
      <c r="X74" s="23"/>
      <c r="Y74" s="23"/>
      <c r="Z74" s="83"/>
      <c r="AA74" s="1"/>
      <c r="AB74" s="45"/>
      <c r="AC74" s="27"/>
      <c r="AD74" s="33"/>
      <c r="AE74" s="146"/>
      <c r="AF74" s="143"/>
      <c r="AG74" s="146"/>
      <c r="AH74" s="150"/>
      <c r="AI74" s="202"/>
      <c r="AJ74" s="131"/>
      <c r="AK74" s="170"/>
      <c r="AL74" s="166"/>
      <c r="AM74" s="131"/>
      <c r="AN74" s="170"/>
      <c r="AO74" s="166"/>
      <c r="AP74" s="121"/>
      <c r="AQ74" s="121"/>
      <c r="AR74" s="29"/>
      <c r="AS74" s="28"/>
      <c r="AT74" s="29"/>
      <c r="AU74" s="153"/>
      <c r="AV74" s="121"/>
      <c r="AW74" s="29"/>
      <c r="AX74" s="121"/>
      <c r="AY74" s="28"/>
      <c r="AZ74" s="121"/>
      <c r="BA74" s="28"/>
      <c r="BB74" s="133"/>
      <c r="BC74" s="133"/>
      <c r="BD74" s="83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</row>
    <row r="75" spans="1:120" ht="15" x14ac:dyDescent="0.25">
      <c r="A75" s="1"/>
      <c r="B75" s="1"/>
      <c r="C75" s="52"/>
      <c r="D75" s="86"/>
      <c r="E75" s="86"/>
      <c r="F75" s="23"/>
      <c r="G75" s="113"/>
      <c r="H75" s="114"/>
      <c r="I75" s="224"/>
      <c r="J75" s="271"/>
      <c r="K75" s="23"/>
      <c r="L75" s="117">
        <v>37.035616438399998</v>
      </c>
      <c r="M75" s="118">
        <v>3.0049999999999999E-3</v>
      </c>
      <c r="N75" s="23"/>
      <c r="O75" s="23"/>
      <c r="P75" s="23"/>
      <c r="Q75" s="83"/>
      <c r="R75" s="1"/>
      <c r="S75" s="45"/>
      <c r="T75" s="23"/>
      <c r="U75" s="23"/>
      <c r="V75" s="23"/>
      <c r="W75" s="23"/>
      <c r="X75" s="23"/>
      <c r="Y75" s="23"/>
      <c r="Z75" s="83"/>
      <c r="AA75" s="1"/>
      <c r="AB75" s="45"/>
      <c r="AC75" s="27"/>
      <c r="AD75" s="188"/>
      <c r="AE75" s="189"/>
      <c r="AF75" s="190"/>
      <c r="AG75" s="189"/>
      <c r="AH75" s="191"/>
      <c r="AI75" s="202"/>
      <c r="AJ75" s="192"/>
      <c r="AK75" s="193"/>
      <c r="AL75" s="194"/>
      <c r="AM75" s="192"/>
      <c r="AN75" s="193"/>
      <c r="AO75" s="194"/>
      <c r="AP75" s="195"/>
      <c r="AQ75" s="195"/>
      <c r="AR75" s="196"/>
      <c r="AS75" s="197"/>
      <c r="AT75" s="196"/>
      <c r="AU75" s="198"/>
      <c r="AV75" s="195"/>
      <c r="AW75" s="196"/>
      <c r="AX75" s="195"/>
      <c r="AY75" s="197"/>
      <c r="AZ75" s="195"/>
      <c r="BA75" s="197"/>
      <c r="BB75" s="199"/>
      <c r="BC75" s="199"/>
      <c r="BD75" s="83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</row>
    <row r="76" spans="1:120" ht="15" x14ac:dyDescent="0.25">
      <c r="A76" s="1"/>
      <c r="B76" s="1"/>
      <c r="C76" s="52"/>
      <c r="D76" s="86"/>
      <c r="E76" s="86"/>
      <c r="F76" s="23"/>
      <c r="G76" s="113"/>
      <c r="H76" s="114"/>
      <c r="I76" s="224"/>
      <c r="J76" s="271"/>
      <c r="K76" s="23"/>
      <c r="L76" s="117">
        <v>38.041095890400001</v>
      </c>
      <c r="M76" s="118">
        <v>2.9337999999999999E-3</v>
      </c>
      <c r="N76" s="23"/>
      <c r="O76" s="23"/>
      <c r="P76" s="23"/>
      <c r="Q76" s="83"/>
      <c r="R76" s="1"/>
      <c r="S76" s="45"/>
      <c r="T76" s="23"/>
      <c r="U76" s="23"/>
      <c r="V76" s="23"/>
      <c r="W76" s="23"/>
      <c r="X76" s="23"/>
      <c r="Y76" s="23"/>
      <c r="Z76" s="83"/>
      <c r="AA76" s="1"/>
      <c r="AB76" s="45"/>
      <c r="AC76" s="187"/>
      <c r="AD76" s="188"/>
      <c r="AE76" s="189"/>
      <c r="AF76" s="190"/>
      <c r="AG76" s="189"/>
      <c r="AH76" s="191"/>
      <c r="AI76" s="202"/>
      <c r="AJ76" s="192"/>
      <c r="AK76" s="193"/>
      <c r="AL76" s="194"/>
      <c r="AM76" s="192"/>
      <c r="AN76" s="193"/>
      <c r="AO76" s="194"/>
      <c r="AP76" s="195"/>
      <c r="AQ76" s="195"/>
      <c r="AR76" s="196"/>
      <c r="AS76" s="197"/>
      <c r="AT76" s="196"/>
      <c r="AU76" s="198"/>
      <c r="AV76" s="195"/>
      <c r="AW76" s="196"/>
      <c r="AX76" s="195"/>
      <c r="AY76" s="197"/>
      <c r="AZ76" s="195"/>
      <c r="BA76" s="197"/>
      <c r="BB76" s="199"/>
      <c r="BC76" s="199"/>
      <c r="BD76" s="83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</row>
    <row r="77" spans="1:120" ht="15" x14ac:dyDescent="0.25">
      <c r="A77" s="1"/>
      <c r="B77" s="1"/>
      <c r="C77" s="52"/>
      <c r="D77" s="22" t="s">
        <v>2685</v>
      </c>
      <c r="E77" s="127" t="s">
        <v>1319</v>
      </c>
      <c r="F77" s="23"/>
      <c r="G77" s="113"/>
      <c r="H77" s="114"/>
      <c r="I77" s="224"/>
      <c r="J77" s="271"/>
      <c r="K77" s="23"/>
      <c r="L77" s="117">
        <v>39.0383561644</v>
      </c>
      <c r="M77" s="118">
        <v>2.8646000000000001E-3</v>
      </c>
      <c r="N77" s="23"/>
      <c r="O77" s="23"/>
      <c r="P77" s="23"/>
      <c r="Q77" s="83"/>
      <c r="R77" s="1"/>
      <c r="S77" s="45"/>
      <c r="T77" s="23"/>
      <c r="U77" s="23"/>
      <c r="V77" s="23"/>
      <c r="W77" s="23"/>
      <c r="X77" s="23"/>
      <c r="Y77" s="23"/>
      <c r="Z77" s="83"/>
      <c r="AA77" s="1"/>
      <c r="AB77" s="45"/>
      <c r="AC77" s="27"/>
      <c r="AD77" s="188"/>
      <c r="AE77" s="189"/>
      <c r="AF77" s="190"/>
      <c r="AG77" s="189"/>
      <c r="AH77" s="191"/>
      <c r="AI77" s="202"/>
      <c r="AJ77" s="192"/>
      <c r="AK77" s="193"/>
      <c r="AL77" s="194"/>
      <c r="AM77" s="192"/>
      <c r="AN77" s="193"/>
      <c r="AO77" s="194"/>
      <c r="AP77" s="195"/>
      <c r="AQ77" s="195"/>
      <c r="AR77" s="196"/>
      <c r="AS77" s="197"/>
      <c r="AT77" s="196"/>
      <c r="AU77" s="198"/>
      <c r="AV77" s="195"/>
      <c r="AW77" s="196"/>
      <c r="AX77" s="195"/>
      <c r="AY77" s="197"/>
      <c r="AZ77" s="195"/>
      <c r="BA77" s="197"/>
      <c r="BB77" s="199"/>
      <c r="BC77" s="199"/>
      <c r="BD77" s="83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</row>
    <row r="78" spans="1:120" ht="15" x14ac:dyDescent="0.25">
      <c r="A78" s="1"/>
      <c r="B78" s="1"/>
      <c r="C78" s="52"/>
      <c r="D78" s="89"/>
      <c r="E78" s="86"/>
      <c r="F78" s="23"/>
      <c r="G78" s="113"/>
      <c r="H78" s="114"/>
      <c r="I78" s="224"/>
      <c r="J78" s="271"/>
      <c r="K78" s="23"/>
      <c r="L78" s="117">
        <v>40.0383561644</v>
      </c>
      <c r="M78" s="118">
        <v>2.7966000000000002E-3</v>
      </c>
      <c r="N78" s="23"/>
      <c r="O78" s="23"/>
      <c r="P78" s="23"/>
      <c r="Q78" s="83"/>
      <c r="R78" s="1"/>
      <c r="S78" s="45"/>
      <c r="T78" s="23"/>
      <c r="U78" s="23"/>
      <c r="V78" s="23"/>
      <c r="W78" s="23"/>
      <c r="X78" s="23"/>
      <c r="Y78" s="23"/>
      <c r="Z78" s="83"/>
      <c r="AA78" s="1"/>
      <c r="AB78" s="45"/>
      <c r="AC78" s="187"/>
      <c r="AD78" s="188"/>
      <c r="AE78" s="189"/>
      <c r="AF78" s="190"/>
      <c r="AG78" s="189"/>
      <c r="AH78" s="191"/>
      <c r="AI78" s="202"/>
      <c r="AJ78" s="192"/>
      <c r="AK78" s="193"/>
      <c r="AL78" s="194"/>
      <c r="AM78" s="192"/>
      <c r="AN78" s="193"/>
      <c r="AO78" s="194"/>
      <c r="AP78" s="195"/>
      <c r="AQ78" s="195"/>
      <c r="AR78" s="196"/>
      <c r="AS78" s="197"/>
      <c r="AT78" s="196"/>
      <c r="AU78" s="198"/>
      <c r="AV78" s="195"/>
      <c r="AW78" s="196"/>
      <c r="AX78" s="195"/>
      <c r="AY78" s="197"/>
      <c r="AZ78" s="195"/>
      <c r="BA78" s="197"/>
      <c r="BB78" s="199"/>
      <c r="BC78" s="199"/>
      <c r="BD78" s="83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</row>
    <row r="79" spans="1:120" ht="15" x14ac:dyDescent="0.25">
      <c r="A79" s="1"/>
      <c r="B79" s="1"/>
      <c r="C79" s="45"/>
      <c r="D79" s="139"/>
      <c r="E79" s="9"/>
      <c r="F79" s="23"/>
      <c r="G79" s="113"/>
      <c r="H79" s="114"/>
      <c r="I79" s="224"/>
      <c r="J79" s="271"/>
      <c r="K79" s="23"/>
      <c r="L79" s="117">
        <v>41.0383561644</v>
      </c>
      <c r="M79" s="118">
        <v>2.7298999999999999E-3</v>
      </c>
      <c r="N79" s="23"/>
      <c r="O79" s="23"/>
      <c r="P79" s="23"/>
      <c r="Q79" s="83"/>
      <c r="R79" s="1"/>
      <c r="S79" s="45"/>
      <c r="T79" s="23"/>
      <c r="U79" s="23"/>
      <c r="V79" s="23"/>
      <c r="W79" s="23"/>
      <c r="X79" s="23"/>
      <c r="Y79" s="23"/>
      <c r="Z79" s="83"/>
      <c r="AA79" s="1"/>
      <c r="AB79" s="45"/>
      <c r="AC79" s="27"/>
      <c r="AD79" s="188"/>
      <c r="AE79" s="189"/>
      <c r="AF79" s="190"/>
      <c r="AG79" s="189"/>
      <c r="AH79" s="191"/>
      <c r="AI79" s="202"/>
      <c r="AJ79" s="192"/>
      <c r="AK79" s="193"/>
      <c r="AL79" s="194"/>
      <c r="AM79" s="192"/>
      <c r="AN79" s="193"/>
      <c r="AO79" s="194"/>
      <c r="AP79" s="195"/>
      <c r="AQ79" s="195"/>
      <c r="AR79" s="196"/>
      <c r="AS79" s="197"/>
      <c r="AT79" s="196"/>
      <c r="AU79" s="198"/>
      <c r="AV79" s="195"/>
      <c r="AW79" s="196"/>
      <c r="AX79" s="195"/>
      <c r="AY79" s="197"/>
      <c r="AZ79" s="195"/>
      <c r="BA79" s="197"/>
      <c r="BB79" s="199"/>
      <c r="BC79" s="199"/>
      <c r="BD79" s="83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</row>
    <row r="80" spans="1:120" ht="15" x14ac:dyDescent="0.25">
      <c r="A80" s="1"/>
      <c r="B80" s="1"/>
      <c r="C80" s="45"/>
      <c r="D80" s="139"/>
      <c r="E80" s="9"/>
      <c r="F80" s="23"/>
      <c r="G80" s="113"/>
      <c r="H80" s="114"/>
      <c r="I80" s="224"/>
      <c r="J80" s="271"/>
      <c r="K80" s="23"/>
      <c r="L80" s="117">
        <v>42.0383561644</v>
      </c>
      <c r="M80" s="118">
        <v>2.6645000000000002E-3</v>
      </c>
      <c r="N80" s="23"/>
      <c r="O80" s="23"/>
      <c r="P80" s="23"/>
      <c r="Q80" s="83"/>
      <c r="R80" s="1"/>
      <c r="S80" s="45"/>
      <c r="T80" s="23"/>
      <c r="U80" s="23"/>
      <c r="V80" s="23"/>
      <c r="W80" s="23"/>
      <c r="X80" s="23"/>
      <c r="Y80" s="23"/>
      <c r="Z80" s="83"/>
      <c r="AA80" s="1"/>
      <c r="AB80" s="45"/>
      <c r="AC80" s="187"/>
      <c r="AD80" s="188"/>
      <c r="AE80" s="189"/>
      <c r="AF80" s="190"/>
      <c r="AG80" s="189"/>
      <c r="AH80" s="191"/>
      <c r="AI80" s="202"/>
      <c r="AJ80" s="192"/>
      <c r="AK80" s="193"/>
      <c r="AL80" s="194"/>
      <c r="AM80" s="192"/>
      <c r="AN80" s="193"/>
      <c r="AO80" s="194"/>
      <c r="AP80" s="195"/>
      <c r="AQ80" s="195"/>
      <c r="AR80" s="196"/>
      <c r="AS80" s="197"/>
      <c r="AT80" s="196"/>
      <c r="AU80" s="198"/>
      <c r="AV80" s="195"/>
      <c r="AW80" s="196"/>
      <c r="AX80" s="195"/>
      <c r="AY80" s="197"/>
      <c r="AZ80" s="195"/>
      <c r="BA80" s="197"/>
      <c r="BB80" s="199"/>
      <c r="BC80" s="199"/>
      <c r="BD80" s="83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</row>
    <row r="81" spans="1:120" ht="15" x14ac:dyDescent="0.25">
      <c r="A81" s="1"/>
      <c r="B81" s="1"/>
      <c r="C81" s="52"/>
      <c r="D81" s="93" t="s">
        <v>69</v>
      </c>
      <c r="E81" s="86"/>
      <c r="F81" s="23"/>
      <c r="G81" s="113"/>
      <c r="H81" s="114"/>
      <c r="I81" s="224"/>
      <c r="J81" s="271"/>
      <c r="K81" s="23"/>
      <c r="L81" s="117">
        <v>43.046575342499999</v>
      </c>
      <c r="M81" s="118">
        <v>2.5996999999999999E-3</v>
      </c>
      <c r="N81" s="23"/>
      <c r="O81" s="23"/>
      <c r="P81" s="23"/>
      <c r="Q81" s="83"/>
      <c r="R81" s="1"/>
      <c r="S81" s="45"/>
      <c r="T81" s="23"/>
      <c r="U81" s="23"/>
      <c r="V81" s="23"/>
      <c r="W81" s="23"/>
      <c r="X81" s="23"/>
      <c r="Y81" s="23"/>
      <c r="Z81" s="83"/>
      <c r="AA81" s="1"/>
      <c r="AB81" s="45"/>
      <c r="AC81" s="27"/>
      <c r="AD81" s="188"/>
      <c r="AE81" s="189"/>
      <c r="AF81" s="190"/>
      <c r="AG81" s="189"/>
      <c r="AH81" s="191"/>
      <c r="AI81" s="202"/>
      <c r="AJ81" s="192"/>
      <c r="AK81" s="193"/>
      <c r="AL81" s="194"/>
      <c r="AM81" s="192"/>
      <c r="AN81" s="193"/>
      <c r="AO81" s="194"/>
      <c r="AP81" s="195"/>
      <c r="AQ81" s="195"/>
      <c r="AR81" s="196"/>
      <c r="AS81" s="197"/>
      <c r="AT81" s="196"/>
      <c r="AU81" s="198"/>
      <c r="AV81" s="195"/>
      <c r="AW81" s="196"/>
      <c r="AX81" s="195"/>
      <c r="AY81" s="197"/>
      <c r="AZ81" s="195"/>
      <c r="BA81" s="197"/>
      <c r="BB81" s="199"/>
      <c r="BC81" s="199"/>
      <c r="BD81" s="83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</row>
    <row r="82" spans="1:120" ht="15" x14ac:dyDescent="0.25">
      <c r="A82" s="1"/>
      <c r="B82" s="1"/>
      <c r="C82" s="52"/>
      <c r="D82" s="86"/>
      <c r="E82" s="86"/>
      <c r="F82" s="23"/>
      <c r="G82" s="113"/>
      <c r="H82" s="114"/>
      <c r="I82" s="224"/>
      <c r="J82" s="271"/>
      <c r="K82" s="23"/>
      <c r="L82" s="117">
        <v>44.043835616400003</v>
      </c>
      <c r="M82" s="118">
        <v>2.5365000000000001E-3</v>
      </c>
      <c r="N82" s="23"/>
      <c r="O82" s="23"/>
      <c r="P82" s="23"/>
      <c r="Q82" s="83"/>
      <c r="R82" s="1"/>
      <c r="S82" s="45"/>
      <c r="T82" s="23"/>
      <c r="U82" s="23"/>
      <c r="V82" s="23"/>
      <c r="W82" s="23"/>
      <c r="X82" s="23"/>
      <c r="Y82" s="23"/>
      <c r="Z82" s="83"/>
      <c r="AA82" s="1"/>
      <c r="AB82" s="45"/>
      <c r="AC82" s="27"/>
      <c r="AD82" s="188"/>
      <c r="AE82" s="189"/>
      <c r="AF82" s="190"/>
      <c r="AG82" s="189"/>
      <c r="AH82" s="191"/>
      <c r="AI82" s="202"/>
      <c r="AJ82" s="192"/>
      <c r="AK82" s="193"/>
      <c r="AL82" s="194"/>
      <c r="AM82" s="192"/>
      <c r="AN82" s="193"/>
      <c r="AO82" s="194"/>
      <c r="AP82" s="195"/>
      <c r="AQ82" s="195"/>
      <c r="AR82" s="196"/>
      <c r="AS82" s="197"/>
      <c r="AT82" s="196"/>
      <c r="AU82" s="198"/>
      <c r="AV82" s="195"/>
      <c r="AW82" s="196"/>
      <c r="AX82" s="195"/>
      <c r="AY82" s="197"/>
      <c r="AZ82" s="195"/>
      <c r="BA82" s="197"/>
      <c r="BB82" s="199"/>
      <c r="BC82" s="199"/>
      <c r="BD82" s="83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</row>
    <row r="83" spans="1:120" ht="15" x14ac:dyDescent="0.25">
      <c r="A83" s="1"/>
      <c r="B83" s="1"/>
      <c r="C83" s="52"/>
      <c r="D83" s="22" t="s">
        <v>44</v>
      </c>
      <c r="E83" s="138">
        <f>E48/0.75</f>
        <v>8.666666666666667E-2</v>
      </c>
      <c r="F83" s="23"/>
      <c r="G83" s="113"/>
      <c r="H83" s="114"/>
      <c r="I83" s="224"/>
      <c r="J83" s="271"/>
      <c r="K83" s="23"/>
      <c r="L83" s="117">
        <v>45.041095890400001</v>
      </c>
      <c r="M83" s="118">
        <v>2.4740999999999999E-3</v>
      </c>
      <c r="N83" s="23"/>
      <c r="O83" s="23"/>
      <c r="P83" s="23"/>
      <c r="Q83" s="83"/>
      <c r="R83" s="1"/>
      <c r="S83" s="45"/>
      <c r="T83" s="23"/>
      <c r="U83" s="23"/>
      <c r="V83" s="23"/>
      <c r="W83" s="23"/>
      <c r="X83" s="23"/>
      <c r="Y83" s="23"/>
      <c r="Z83" s="83"/>
      <c r="AA83" s="1"/>
      <c r="AB83" s="45"/>
      <c r="AC83" s="27"/>
      <c r="AD83" s="188"/>
      <c r="AE83" s="189"/>
      <c r="AF83" s="190"/>
      <c r="AG83" s="189"/>
      <c r="AH83" s="191"/>
      <c r="AI83" s="202"/>
      <c r="AJ83" s="192"/>
      <c r="AK83" s="193"/>
      <c r="AL83" s="194"/>
      <c r="AM83" s="192"/>
      <c r="AN83" s="193"/>
      <c r="AO83" s="194"/>
      <c r="AP83" s="195"/>
      <c r="AQ83" s="195"/>
      <c r="AR83" s="196"/>
      <c r="AS83" s="197"/>
      <c r="AT83" s="196"/>
      <c r="AU83" s="198"/>
      <c r="AV83" s="195"/>
      <c r="AW83" s="196"/>
      <c r="AX83" s="195"/>
      <c r="AY83" s="197"/>
      <c r="AZ83" s="195"/>
      <c r="BA83" s="197"/>
      <c r="BB83" s="199"/>
      <c r="BC83" s="199"/>
      <c r="BD83" s="83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</row>
    <row r="84" spans="1:120" ht="15" x14ac:dyDescent="0.25">
      <c r="A84" s="1"/>
      <c r="B84" s="1"/>
      <c r="C84" s="52"/>
      <c r="D84" s="22" t="s">
        <v>45</v>
      </c>
      <c r="E84" s="138">
        <f>13.5/8*$E$83</f>
        <v>0.14624999999999999</v>
      </c>
      <c r="F84" s="23"/>
      <c r="G84" s="113"/>
      <c r="H84" s="114"/>
      <c r="I84" s="224"/>
      <c r="J84" s="271"/>
      <c r="K84" s="23"/>
      <c r="L84" s="117">
        <v>46.041095890400001</v>
      </c>
      <c r="M84" s="118">
        <v>2.4123E-3</v>
      </c>
      <c r="N84" s="23"/>
      <c r="O84" s="23"/>
      <c r="P84" s="23"/>
      <c r="Q84" s="83"/>
      <c r="R84" s="1"/>
      <c r="S84" s="45"/>
      <c r="T84" s="23"/>
      <c r="U84" s="23"/>
      <c r="V84" s="23"/>
      <c r="W84" s="23"/>
      <c r="X84" s="23"/>
      <c r="Y84" s="23"/>
      <c r="Z84" s="83"/>
      <c r="AA84" s="1"/>
      <c r="AB84" s="45"/>
      <c r="AC84" s="27"/>
      <c r="AD84" s="188"/>
      <c r="AE84" s="189"/>
      <c r="AF84" s="190"/>
      <c r="AG84" s="189"/>
      <c r="AH84" s="191"/>
      <c r="AI84" s="202"/>
      <c r="AJ84" s="192"/>
      <c r="AK84" s="193"/>
      <c r="AL84" s="194"/>
      <c r="AM84" s="192"/>
      <c r="AN84" s="193"/>
      <c r="AO84" s="194"/>
      <c r="AP84" s="195"/>
      <c r="AQ84" s="195"/>
      <c r="AR84" s="196"/>
      <c r="AS84" s="197"/>
      <c r="AT84" s="196"/>
      <c r="AU84" s="198"/>
      <c r="AV84" s="195"/>
      <c r="AW84" s="196"/>
      <c r="AX84" s="195"/>
      <c r="AY84" s="197"/>
      <c r="AZ84" s="195"/>
      <c r="BA84" s="197"/>
      <c r="BB84" s="199"/>
      <c r="BC84" s="199"/>
      <c r="BD84" s="83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</row>
    <row r="85" spans="1:120" ht="15" x14ac:dyDescent="0.25">
      <c r="A85" s="1"/>
      <c r="B85" s="1"/>
      <c r="C85" s="52"/>
      <c r="D85" s="86"/>
      <c r="E85" s="86"/>
      <c r="F85" s="23"/>
      <c r="G85" s="113"/>
      <c r="H85" s="114"/>
      <c r="I85" s="224"/>
      <c r="J85" s="271"/>
      <c r="K85" s="23"/>
      <c r="L85" s="117">
        <v>47.043835616400003</v>
      </c>
      <c r="M85" s="118">
        <v>2.3508000000000001E-3</v>
      </c>
      <c r="N85" s="23"/>
      <c r="O85" s="23"/>
      <c r="P85" s="23"/>
      <c r="Q85" s="83"/>
      <c r="R85" s="1"/>
      <c r="S85" s="45"/>
      <c r="T85" s="23"/>
      <c r="U85" s="23"/>
      <c r="V85" s="23"/>
      <c r="W85" s="23"/>
      <c r="X85" s="23"/>
      <c r="Y85" s="23"/>
      <c r="Z85" s="83"/>
      <c r="AA85" s="1"/>
      <c r="AB85" s="45"/>
      <c r="AC85" s="27"/>
      <c r="AD85" s="188"/>
      <c r="AE85" s="189"/>
      <c r="AF85" s="190"/>
      <c r="AG85" s="189"/>
      <c r="AH85" s="191"/>
      <c r="AI85" s="202"/>
      <c r="AJ85" s="192"/>
      <c r="AK85" s="193"/>
      <c r="AL85" s="194"/>
      <c r="AM85" s="192"/>
      <c r="AN85" s="193"/>
      <c r="AO85" s="194"/>
      <c r="AP85" s="195"/>
      <c r="AQ85" s="195"/>
      <c r="AR85" s="196"/>
      <c r="AS85" s="197"/>
      <c r="AT85" s="196"/>
      <c r="AU85" s="198"/>
      <c r="AV85" s="195"/>
      <c r="AW85" s="196"/>
      <c r="AX85" s="195"/>
      <c r="AY85" s="197"/>
      <c r="AZ85" s="195"/>
      <c r="BA85" s="197"/>
      <c r="BB85" s="199"/>
      <c r="BC85" s="199"/>
      <c r="BD85" s="83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</row>
    <row r="86" spans="1:120" ht="15" x14ac:dyDescent="0.25">
      <c r="A86" s="1"/>
      <c r="B86" s="1"/>
      <c r="C86" s="52"/>
      <c r="D86" s="22" t="s">
        <v>50</v>
      </c>
      <c r="E86" s="82">
        <f>IF($E$35="Yes",VLOOKUP(MIN(RIGHT(Rating_CP,LEN(Rating_CP)-2),MAX(Statics!I:I)),Statics!I:J,2,0),1)</f>
        <v>2.94</v>
      </c>
      <c r="F86" s="23"/>
      <c r="G86" s="113"/>
      <c r="H86" s="114"/>
      <c r="I86" s="224"/>
      <c r="J86" s="271"/>
      <c r="K86" s="23"/>
      <c r="L86" s="117">
        <v>48.043835616400003</v>
      </c>
      <c r="M86" s="118">
        <v>2.2899000000000001E-3</v>
      </c>
      <c r="N86" s="23"/>
      <c r="O86" s="23"/>
      <c r="P86" s="23"/>
      <c r="Q86" s="83"/>
      <c r="R86" s="1"/>
      <c r="S86" s="45"/>
      <c r="T86" s="23"/>
      <c r="U86" s="23"/>
      <c r="V86" s="23"/>
      <c r="W86" s="23"/>
      <c r="X86" s="23"/>
      <c r="Y86" s="23"/>
      <c r="Z86" s="83"/>
      <c r="AA86" s="1"/>
      <c r="AB86" s="45"/>
      <c r="AC86" s="27"/>
      <c r="AD86" s="188"/>
      <c r="AE86" s="189"/>
      <c r="AF86" s="190"/>
      <c r="AG86" s="189"/>
      <c r="AH86" s="191"/>
      <c r="AI86" s="202"/>
      <c r="AJ86" s="192"/>
      <c r="AK86" s="193"/>
      <c r="AL86" s="194"/>
      <c r="AM86" s="192"/>
      <c r="AN86" s="193"/>
      <c r="AO86" s="194"/>
      <c r="AP86" s="195"/>
      <c r="AQ86" s="195"/>
      <c r="AR86" s="196"/>
      <c r="AS86" s="197"/>
      <c r="AT86" s="196"/>
      <c r="AU86" s="198"/>
      <c r="AV86" s="195"/>
      <c r="AW86" s="196"/>
      <c r="AX86" s="195"/>
      <c r="AY86" s="197"/>
      <c r="AZ86" s="195"/>
      <c r="BA86" s="197"/>
      <c r="BB86" s="199"/>
      <c r="BC86" s="199"/>
      <c r="BD86" s="83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</row>
    <row r="87" spans="1:120" ht="15" x14ac:dyDescent="0.25">
      <c r="A87" s="1"/>
      <c r="B87" s="1"/>
      <c r="C87" s="52"/>
      <c r="D87" s="86"/>
      <c r="E87" s="86"/>
      <c r="F87" s="23"/>
      <c r="G87" s="113"/>
      <c r="H87" s="114"/>
      <c r="I87" s="224"/>
      <c r="J87" s="271"/>
      <c r="K87" s="23"/>
      <c r="L87" s="117">
        <v>49.0493150685</v>
      </c>
      <c r="M87" s="118">
        <v>2.2290000000000001E-3</v>
      </c>
      <c r="N87" s="23"/>
      <c r="O87" s="23"/>
      <c r="P87" s="23"/>
      <c r="Q87" s="83"/>
      <c r="R87" s="1"/>
      <c r="S87" s="45"/>
      <c r="T87" s="23"/>
      <c r="U87" s="23"/>
      <c r="V87" s="23"/>
      <c r="W87" s="23"/>
      <c r="X87" s="23"/>
      <c r="Y87" s="23"/>
      <c r="Z87" s="83"/>
      <c r="AA87" s="1"/>
      <c r="AB87" s="45"/>
      <c r="AC87" s="187"/>
      <c r="AD87" s="188"/>
      <c r="AE87" s="189"/>
      <c r="AF87" s="190"/>
      <c r="AG87" s="189"/>
      <c r="AH87" s="191"/>
      <c r="AI87" s="202"/>
      <c r="AJ87" s="192"/>
      <c r="AK87" s="193"/>
      <c r="AL87" s="194"/>
      <c r="AM87" s="192"/>
      <c r="AN87" s="193"/>
      <c r="AO87" s="194"/>
      <c r="AP87" s="195"/>
      <c r="AQ87" s="195"/>
      <c r="AR87" s="196"/>
      <c r="AS87" s="197"/>
      <c r="AT87" s="196"/>
      <c r="AU87" s="198"/>
      <c r="AV87" s="195"/>
      <c r="AW87" s="196"/>
      <c r="AX87" s="195"/>
      <c r="AY87" s="197"/>
      <c r="AZ87" s="195"/>
      <c r="BA87" s="197"/>
      <c r="BB87" s="199"/>
      <c r="BC87" s="199"/>
      <c r="BD87" s="83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</row>
    <row r="88" spans="1:120" ht="15" x14ac:dyDescent="0.25">
      <c r="A88" s="1"/>
      <c r="B88" s="1"/>
      <c r="C88" s="52"/>
      <c r="D88" s="22" t="s">
        <v>61</v>
      </c>
      <c r="E88" s="157">
        <v>44561</v>
      </c>
      <c r="F88" s="23"/>
      <c r="G88" s="113"/>
      <c r="H88" s="114"/>
      <c r="I88" s="224"/>
      <c r="J88" s="271"/>
      <c r="K88" s="23"/>
      <c r="L88" s="119">
        <v>50.046575342499999</v>
      </c>
      <c r="M88" s="120">
        <v>2.1687E-3</v>
      </c>
      <c r="N88" s="23"/>
      <c r="O88" s="23"/>
      <c r="P88" s="23"/>
      <c r="Q88" s="83"/>
      <c r="R88" s="1"/>
      <c r="S88" s="45"/>
      <c r="T88" s="23"/>
      <c r="U88" s="23"/>
      <c r="V88" s="23"/>
      <c r="W88" s="23"/>
      <c r="X88" s="23"/>
      <c r="Y88" s="23"/>
      <c r="Z88" s="83"/>
      <c r="AA88" s="1"/>
      <c r="AB88" s="45"/>
      <c r="AC88" s="187"/>
      <c r="AD88" s="188"/>
      <c r="AE88" s="189"/>
      <c r="AF88" s="190"/>
      <c r="AG88" s="189"/>
      <c r="AH88" s="191"/>
      <c r="AI88" s="202"/>
      <c r="AJ88" s="192"/>
      <c r="AK88" s="193"/>
      <c r="AL88" s="194"/>
      <c r="AM88" s="192"/>
      <c r="AN88" s="193"/>
      <c r="AO88" s="194"/>
      <c r="AP88" s="195"/>
      <c r="AQ88" s="195"/>
      <c r="AR88" s="196"/>
      <c r="AS88" s="197"/>
      <c r="AT88" s="196"/>
      <c r="AU88" s="198"/>
      <c r="AV88" s="195"/>
      <c r="AW88" s="196"/>
      <c r="AX88" s="195"/>
      <c r="AY88" s="197"/>
      <c r="AZ88" s="195"/>
      <c r="BA88" s="197"/>
      <c r="BB88" s="199"/>
      <c r="BC88" s="199"/>
      <c r="BD88" s="83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</row>
    <row r="89" spans="1:120" ht="15" x14ac:dyDescent="0.25">
      <c r="A89" s="1"/>
      <c r="B89" s="1"/>
      <c r="C89" s="52"/>
      <c r="D89" s="86"/>
      <c r="E89" s="86"/>
      <c r="F89" s="23"/>
      <c r="G89" s="113"/>
      <c r="H89" s="114"/>
      <c r="I89" s="224"/>
      <c r="J89" s="271"/>
      <c r="K89" s="23"/>
      <c r="L89" s="23"/>
      <c r="M89" s="23"/>
      <c r="N89" s="23"/>
      <c r="O89" s="23"/>
      <c r="P89" s="23"/>
      <c r="Q89" s="83"/>
      <c r="R89" s="1"/>
      <c r="S89" s="45"/>
      <c r="T89" s="23"/>
      <c r="U89" s="23"/>
      <c r="V89" s="23"/>
      <c r="W89" s="23"/>
      <c r="X89" s="23"/>
      <c r="Y89" s="23"/>
      <c r="Z89" s="83"/>
      <c r="AA89" s="1"/>
      <c r="AB89" s="45"/>
      <c r="AC89" s="27"/>
      <c r="AD89" s="33"/>
      <c r="AE89" s="146"/>
      <c r="AF89" s="143"/>
      <c r="AG89" s="146"/>
      <c r="AH89" s="150"/>
      <c r="AI89" s="202"/>
      <c r="AJ89" s="131"/>
      <c r="AK89" s="170"/>
      <c r="AL89" s="166"/>
      <c r="AM89" s="131"/>
      <c r="AN89" s="170"/>
      <c r="AO89" s="166"/>
      <c r="AP89" s="121"/>
      <c r="AQ89" s="121"/>
      <c r="AR89" s="29"/>
      <c r="AS89" s="28"/>
      <c r="AT89" s="29"/>
      <c r="AU89" s="153"/>
      <c r="AV89" s="121"/>
      <c r="AW89" s="29"/>
      <c r="AX89" s="121"/>
      <c r="AY89" s="28"/>
      <c r="AZ89" s="121"/>
      <c r="BA89" s="28"/>
      <c r="BB89" s="133"/>
      <c r="BC89" s="133"/>
      <c r="BD89" s="83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</row>
    <row r="90" spans="1:120" ht="15" x14ac:dyDescent="0.25">
      <c r="A90" s="1"/>
      <c r="B90" s="1"/>
      <c r="C90" s="52"/>
      <c r="D90" s="22" t="s">
        <v>2717</v>
      </c>
      <c r="E90" s="175">
        <v>0.86397000000000002</v>
      </c>
      <c r="F90" s="23"/>
      <c r="G90" s="113"/>
      <c r="H90" s="114"/>
      <c r="I90" s="224"/>
      <c r="J90" s="271"/>
      <c r="K90" s="23"/>
      <c r="L90" s="23"/>
      <c r="M90" s="23"/>
      <c r="N90" s="23"/>
      <c r="O90" s="23"/>
      <c r="P90" s="23"/>
      <c r="Q90" s="83"/>
      <c r="R90" s="1"/>
      <c r="S90" s="45"/>
      <c r="T90" s="23"/>
      <c r="U90" s="23"/>
      <c r="V90" s="23"/>
      <c r="W90" s="23"/>
      <c r="X90" s="23"/>
      <c r="Y90" s="23"/>
      <c r="Z90" s="83"/>
      <c r="AA90" s="1"/>
      <c r="AB90" s="45"/>
      <c r="AC90" s="27"/>
      <c r="AD90" s="33"/>
      <c r="AE90" s="146"/>
      <c r="AF90" s="143"/>
      <c r="AG90" s="146"/>
      <c r="AH90" s="150"/>
      <c r="AI90" s="202"/>
      <c r="AJ90" s="131"/>
      <c r="AK90" s="170"/>
      <c r="AL90" s="166"/>
      <c r="AM90" s="131"/>
      <c r="AN90" s="170"/>
      <c r="AO90" s="166"/>
      <c r="AP90" s="121"/>
      <c r="AQ90" s="121"/>
      <c r="AR90" s="29"/>
      <c r="AS90" s="28"/>
      <c r="AT90" s="29"/>
      <c r="AU90" s="153"/>
      <c r="AV90" s="121"/>
      <c r="AW90" s="29"/>
      <c r="AX90" s="121"/>
      <c r="AY90" s="28"/>
      <c r="AZ90" s="121"/>
      <c r="BA90" s="28"/>
      <c r="BB90" s="133"/>
      <c r="BC90" s="133"/>
      <c r="BD90" s="83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</row>
    <row r="91" spans="1:120" ht="15" x14ac:dyDescent="0.25">
      <c r="A91" s="1"/>
      <c r="B91" s="1"/>
      <c r="C91" s="52"/>
      <c r="D91" s="86"/>
      <c r="E91" s="86"/>
      <c r="F91" s="23"/>
      <c r="G91" s="113"/>
      <c r="H91" s="114"/>
      <c r="I91" s="224"/>
      <c r="J91" s="271"/>
      <c r="K91" s="23"/>
      <c r="L91" s="23"/>
      <c r="M91" s="23"/>
      <c r="N91" s="23"/>
      <c r="O91" s="23"/>
      <c r="P91" s="23"/>
      <c r="Q91" s="83"/>
      <c r="R91" s="1"/>
      <c r="S91" s="45"/>
      <c r="T91" s="23"/>
      <c r="U91" s="23"/>
      <c r="V91" s="23"/>
      <c r="W91" s="23"/>
      <c r="X91" s="23"/>
      <c r="Y91" s="23"/>
      <c r="Z91" s="83"/>
      <c r="AA91" s="1"/>
      <c r="AB91" s="45"/>
      <c r="AC91" s="27"/>
      <c r="AD91" s="33"/>
      <c r="AE91" s="146"/>
      <c r="AF91" s="143"/>
      <c r="AG91" s="146"/>
      <c r="AH91" s="150"/>
      <c r="AI91" s="202"/>
      <c r="AJ91" s="131"/>
      <c r="AK91" s="170"/>
      <c r="AL91" s="166"/>
      <c r="AM91" s="131"/>
      <c r="AN91" s="170"/>
      <c r="AO91" s="166"/>
      <c r="AP91" s="121"/>
      <c r="AQ91" s="121"/>
      <c r="AR91" s="29"/>
      <c r="AS91" s="28"/>
      <c r="AT91" s="29"/>
      <c r="AU91" s="153"/>
      <c r="AV91" s="121"/>
      <c r="AW91" s="29"/>
      <c r="AX91" s="121"/>
      <c r="AY91" s="28"/>
      <c r="AZ91" s="121"/>
      <c r="BA91" s="28"/>
      <c r="BB91" s="133"/>
      <c r="BC91" s="133"/>
      <c r="BD91" s="83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</row>
    <row r="92" spans="1:120" ht="15" x14ac:dyDescent="0.25">
      <c r="A92" s="1"/>
      <c r="B92" s="1"/>
      <c r="C92" s="52"/>
      <c r="D92" s="22" t="s">
        <v>3187</v>
      </c>
      <c r="E92" s="208" t="s">
        <v>3272</v>
      </c>
      <c r="F92" s="23"/>
      <c r="G92" s="113"/>
      <c r="H92" s="114"/>
      <c r="I92" s="224"/>
      <c r="J92" s="271"/>
      <c r="K92" s="23"/>
      <c r="L92" s="23"/>
      <c r="M92" s="23"/>
      <c r="N92" s="23"/>
      <c r="O92" s="23"/>
      <c r="P92" s="23"/>
      <c r="Q92" s="83"/>
      <c r="R92" s="1"/>
      <c r="S92" s="45"/>
      <c r="T92" s="23"/>
      <c r="U92" s="23"/>
      <c r="V92" s="23"/>
      <c r="W92" s="23"/>
      <c r="X92" s="23"/>
      <c r="Y92" s="23"/>
      <c r="Z92" s="83"/>
      <c r="AA92" s="1"/>
      <c r="AB92" s="45"/>
      <c r="AC92" s="27"/>
      <c r="AD92" s="33"/>
      <c r="AE92" s="146"/>
      <c r="AF92" s="143"/>
      <c r="AG92" s="146"/>
      <c r="AH92" s="150"/>
      <c r="AI92" s="202"/>
      <c r="AJ92" s="131"/>
      <c r="AK92" s="170"/>
      <c r="AL92" s="166"/>
      <c r="AM92" s="131"/>
      <c r="AN92" s="170"/>
      <c r="AO92" s="166"/>
      <c r="AP92" s="121"/>
      <c r="AQ92" s="121"/>
      <c r="AR92" s="29"/>
      <c r="AS92" s="28"/>
      <c r="AT92" s="29"/>
      <c r="AU92" s="153"/>
      <c r="AV92" s="121"/>
      <c r="AW92" s="29"/>
      <c r="AX92" s="121"/>
      <c r="AY92" s="28"/>
      <c r="AZ92" s="121"/>
      <c r="BA92" s="28"/>
      <c r="BB92" s="133"/>
      <c r="BC92" s="133"/>
      <c r="BD92" s="83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</row>
    <row r="93" spans="1:120" ht="15" x14ac:dyDescent="0.25">
      <c r="A93" s="1"/>
      <c r="B93" s="1"/>
      <c r="C93" s="52"/>
      <c r="D93" s="22" t="s">
        <v>2927</v>
      </c>
      <c r="E93" s="208" t="s">
        <v>3272</v>
      </c>
      <c r="F93" s="23"/>
      <c r="G93" s="113"/>
      <c r="H93" s="114"/>
      <c r="I93" s="224"/>
      <c r="J93" s="271"/>
      <c r="K93" s="23"/>
      <c r="L93" s="23"/>
      <c r="M93" s="23"/>
      <c r="N93" s="23"/>
      <c r="O93" s="23"/>
      <c r="P93" s="23"/>
      <c r="Q93" s="83"/>
      <c r="R93" s="1"/>
      <c r="S93" s="45"/>
      <c r="T93" s="23"/>
      <c r="U93" s="23"/>
      <c r="V93" s="23"/>
      <c r="W93" s="23"/>
      <c r="X93" s="23"/>
      <c r="Y93" s="23"/>
      <c r="Z93" s="83"/>
      <c r="AA93" s="1"/>
      <c r="AB93" s="45"/>
      <c r="AC93" s="27"/>
      <c r="AD93" s="33"/>
      <c r="AE93" s="146"/>
      <c r="AF93" s="143"/>
      <c r="AG93" s="146"/>
      <c r="AH93" s="150"/>
      <c r="AI93" s="202"/>
      <c r="AJ93" s="131"/>
      <c r="AK93" s="170"/>
      <c r="AL93" s="166"/>
      <c r="AM93" s="131"/>
      <c r="AN93" s="170"/>
      <c r="AO93" s="166"/>
      <c r="AP93" s="121"/>
      <c r="AQ93" s="121"/>
      <c r="AR93" s="29"/>
      <c r="AS93" s="28"/>
      <c r="AT93" s="29"/>
      <c r="AU93" s="153"/>
      <c r="AV93" s="121"/>
      <c r="AW93" s="29"/>
      <c r="AX93" s="121"/>
      <c r="AY93" s="28"/>
      <c r="AZ93" s="121"/>
      <c r="BA93" s="28"/>
      <c r="BB93" s="133"/>
      <c r="BC93" s="133"/>
      <c r="BD93" s="83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</row>
    <row r="94" spans="1:120" ht="15" x14ac:dyDescent="0.25">
      <c r="A94" s="1"/>
      <c r="B94" s="1"/>
      <c r="C94" s="52"/>
      <c r="D94" s="86"/>
      <c r="E94" s="86"/>
      <c r="F94" s="23"/>
      <c r="G94" s="113"/>
      <c r="H94" s="114"/>
      <c r="I94" s="224"/>
      <c r="J94" s="271"/>
      <c r="K94" s="23"/>
      <c r="L94" s="23"/>
      <c r="M94" s="23"/>
      <c r="N94" s="23"/>
      <c r="O94" s="23"/>
      <c r="P94" s="23"/>
      <c r="Q94" s="83"/>
      <c r="R94" s="1"/>
      <c r="S94" s="45"/>
      <c r="T94" s="23"/>
      <c r="U94" s="23"/>
      <c r="V94" s="23"/>
      <c r="W94" s="23"/>
      <c r="X94" s="23"/>
      <c r="Y94" s="23"/>
      <c r="Z94" s="83"/>
      <c r="AA94" s="1"/>
      <c r="AB94" s="45"/>
      <c r="AC94" s="27"/>
      <c r="AD94" s="33"/>
      <c r="AE94" s="146"/>
      <c r="AF94" s="143"/>
      <c r="AG94" s="146"/>
      <c r="AH94" s="150"/>
      <c r="AI94" s="202"/>
      <c r="AJ94" s="131"/>
      <c r="AK94" s="170"/>
      <c r="AL94" s="166"/>
      <c r="AM94" s="131"/>
      <c r="AN94" s="170"/>
      <c r="AO94" s="166"/>
      <c r="AP94" s="121"/>
      <c r="AQ94" s="121"/>
      <c r="AR94" s="29"/>
      <c r="AS94" s="28"/>
      <c r="AT94" s="29"/>
      <c r="AU94" s="153"/>
      <c r="AV94" s="121"/>
      <c r="AW94" s="29"/>
      <c r="AX94" s="121"/>
      <c r="AY94" s="28"/>
      <c r="AZ94" s="121"/>
      <c r="BA94" s="28"/>
      <c r="BB94" s="133"/>
      <c r="BC94" s="133"/>
      <c r="BD94" s="83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</row>
    <row r="95" spans="1:120" ht="15" x14ac:dyDescent="0.25">
      <c r="A95" s="1"/>
      <c r="B95" s="1"/>
      <c r="C95" s="52"/>
      <c r="D95" s="86"/>
      <c r="E95" s="86"/>
      <c r="F95" s="23"/>
      <c r="G95" s="113"/>
      <c r="H95" s="114"/>
      <c r="I95" s="224"/>
      <c r="J95" s="271"/>
      <c r="K95" s="23"/>
      <c r="L95" s="23"/>
      <c r="M95" s="23"/>
      <c r="N95" s="23"/>
      <c r="O95" s="23"/>
      <c r="P95" s="23"/>
      <c r="Q95" s="83"/>
      <c r="R95" s="1"/>
      <c r="S95" s="45"/>
      <c r="T95" s="23"/>
      <c r="U95" s="23"/>
      <c r="V95" s="23"/>
      <c r="W95" s="23"/>
      <c r="X95" s="23"/>
      <c r="Y95" s="23"/>
      <c r="Z95" s="83"/>
      <c r="AA95" s="1"/>
      <c r="AB95" s="45"/>
      <c r="AC95" s="27"/>
      <c r="AD95" s="33"/>
      <c r="AE95" s="146"/>
      <c r="AF95" s="143"/>
      <c r="AG95" s="146"/>
      <c r="AH95" s="150"/>
      <c r="AI95" s="202"/>
      <c r="AJ95" s="131"/>
      <c r="AK95" s="170"/>
      <c r="AL95" s="166"/>
      <c r="AM95" s="131"/>
      <c r="AN95" s="170"/>
      <c r="AO95" s="166"/>
      <c r="AP95" s="121"/>
      <c r="AQ95" s="121"/>
      <c r="AR95" s="29"/>
      <c r="AS95" s="28"/>
      <c r="AT95" s="29"/>
      <c r="AU95" s="153"/>
      <c r="AV95" s="121"/>
      <c r="AW95" s="29"/>
      <c r="AX95" s="121"/>
      <c r="AY95" s="28"/>
      <c r="AZ95" s="121"/>
      <c r="BA95" s="28"/>
      <c r="BB95" s="133"/>
      <c r="BC95" s="133"/>
      <c r="BD95" s="83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</row>
    <row r="96" spans="1:120" ht="15" x14ac:dyDescent="0.25">
      <c r="A96" s="1"/>
      <c r="B96" s="1"/>
      <c r="C96" s="52"/>
      <c r="D96" s="86"/>
      <c r="E96" s="86"/>
      <c r="F96" s="23"/>
      <c r="G96" s="113"/>
      <c r="H96" s="114"/>
      <c r="I96" s="224"/>
      <c r="J96" s="271"/>
      <c r="K96" s="23"/>
      <c r="L96" s="23"/>
      <c r="M96" s="23"/>
      <c r="N96" s="23"/>
      <c r="O96" s="23"/>
      <c r="P96" s="23"/>
      <c r="Q96" s="83"/>
      <c r="R96" s="1"/>
      <c r="S96" s="45"/>
      <c r="T96" s="23"/>
      <c r="U96" s="23"/>
      <c r="V96" s="23"/>
      <c r="W96" s="23"/>
      <c r="X96" s="23"/>
      <c r="Y96" s="23"/>
      <c r="Z96" s="83"/>
      <c r="AA96" s="1"/>
      <c r="AB96" s="45"/>
      <c r="AC96" s="27"/>
      <c r="AD96" s="33"/>
      <c r="AE96" s="146"/>
      <c r="AF96" s="143"/>
      <c r="AG96" s="146"/>
      <c r="AH96" s="150"/>
      <c r="AI96" s="202"/>
      <c r="AJ96" s="131"/>
      <c r="AK96" s="170"/>
      <c r="AL96" s="166"/>
      <c r="AM96" s="131"/>
      <c r="AN96" s="170"/>
      <c r="AO96" s="166"/>
      <c r="AP96" s="121"/>
      <c r="AQ96" s="121"/>
      <c r="AR96" s="29"/>
      <c r="AS96" s="28"/>
      <c r="AT96" s="29"/>
      <c r="AU96" s="153"/>
      <c r="AV96" s="121"/>
      <c r="AW96" s="29"/>
      <c r="AX96" s="121"/>
      <c r="AY96" s="28"/>
      <c r="AZ96" s="121"/>
      <c r="BA96" s="28"/>
      <c r="BB96" s="133"/>
      <c r="BC96" s="133"/>
      <c r="BD96" s="83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</row>
    <row r="97" spans="1:120" ht="15" x14ac:dyDescent="0.25">
      <c r="A97" s="1"/>
      <c r="B97" s="1"/>
      <c r="C97" s="52"/>
      <c r="D97" s="86"/>
      <c r="E97" s="86"/>
      <c r="F97" s="23"/>
      <c r="G97" s="113"/>
      <c r="H97" s="114"/>
      <c r="I97" s="224"/>
      <c r="J97" s="271"/>
      <c r="K97" s="23"/>
      <c r="L97" s="23"/>
      <c r="M97" s="23"/>
      <c r="N97" s="23"/>
      <c r="O97" s="23"/>
      <c r="P97" s="23"/>
      <c r="Q97" s="83"/>
      <c r="R97" s="1"/>
      <c r="S97" s="45"/>
      <c r="T97" s="23"/>
      <c r="U97" s="23"/>
      <c r="V97" s="23"/>
      <c r="W97" s="23"/>
      <c r="X97" s="23"/>
      <c r="Y97" s="23"/>
      <c r="Z97" s="83"/>
      <c r="AA97" s="1"/>
      <c r="AB97" s="45"/>
      <c r="AC97" s="187"/>
      <c r="AD97" s="33"/>
      <c r="AE97" s="146"/>
      <c r="AF97" s="143"/>
      <c r="AG97" s="146"/>
      <c r="AH97" s="150"/>
      <c r="AI97" s="202"/>
      <c r="AJ97" s="131"/>
      <c r="AK97" s="170"/>
      <c r="AL97" s="166"/>
      <c r="AM97" s="131"/>
      <c r="AN97" s="170"/>
      <c r="AO97" s="166"/>
      <c r="AP97" s="121"/>
      <c r="AQ97" s="121"/>
      <c r="AR97" s="29"/>
      <c r="AS97" s="28"/>
      <c r="AT97" s="29"/>
      <c r="AU97" s="153"/>
      <c r="AV97" s="121"/>
      <c r="AW97" s="29"/>
      <c r="AX97" s="121"/>
      <c r="AY97" s="28"/>
      <c r="AZ97" s="121"/>
      <c r="BA97" s="28"/>
      <c r="BB97" s="133"/>
      <c r="BC97" s="133"/>
      <c r="BD97" s="83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</row>
    <row r="98" spans="1:120" ht="15" x14ac:dyDescent="0.25">
      <c r="A98" s="1"/>
      <c r="B98" s="1"/>
      <c r="C98" s="52"/>
      <c r="D98" s="86"/>
      <c r="E98" s="86"/>
      <c r="F98" s="23"/>
      <c r="G98" s="113"/>
      <c r="H98" s="114"/>
      <c r="I98" s="224"/>
      <c r="J98" s="271"/>
      <c r="K98" s="23"/>
      <c r="L98" s="23"/>
      <c r="M98" s="23"/>
      <c r="N98" s="23"/>
      <c r="O98" s="23"/>
      <c r="P98" s="23"/>
      <c r="Q98" s="83"/>
      <c r="R98" s="1"/>
      <c r="S98" s="45"/>
      <c r="T98" s="23"/>
      <c r="U98" s="23"/>
      <c r="V98" s="23"/>
      <c r="W98" s="23"/>
      <c r="X98" s="23"/>
      <c r="Y98" s="23"/>
      <c r="Z98" s="83"/>
      <c r="AA98" s="1"/>
      <c r="AB98" s="45"/>
      <c r="AC98" s="27"/>
      <c r="AD98" s="33"/>
      <c r="AE98" s="146"/>
      <c r="AF98" s="143"/>
      <c r="AG98" s="146"/>
      <c r="AH98" s="150"/>
      <c r="AI98" s="202"/>
      <c r="AJ98" s="131"/>
      <c r="AK98" s="170"/>
      <c r="AL98" s="166"/>
      <c r="AM98" s="131"/>
      <c r="AN98" s="170"/>
      <c r="AO98" s="166"/>
      <c r="AP98" s="121"/>
      <c r="AQ98" s="121"/>
      <c r="AR98" s="29"/>
      <c r="AS98" s="28"/>
      <c r="AT98" s="29"/>
      <c r="AU98" s="153"/>
      <c r="AV98" s="121"/>
      <c r="AW98" s="29"/>
      <c r="AX98" s="121"/>
      <c r="AY98" s="28"/>
      <c r="AZ98" s="121"/>
      <c r="BA98" s="28"/>
      <c r="BB98" s="133"/>
      <c r="BC98" s="133"/>
      <c r="BD98" s="83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</row>
    <row r="99" spans="1:120" ht="15" x14ac:dyDescent="0.25">
      <c r="A99" s="1"/>
      <c r="B99" s="1"/>
      <c r="C99" s="52"/>
      <c r="D99" s="86"/>
      <c r="E99" s="86"/>
      <c r="F99" s="23"/>
      <c r="G99" s="113"/>
      <c r="H99" s="114"/>
      <c r="I99" s="224"/>
      <c r="J99" s="271"/>
      <c r="K99" s="23"/>
      <c r="L99" s="23"/>
      <c r="M99" s="23"/>
      <c r="N99" s="23"/>
      <c r="O99" s="23"/>
      <c r="P99" s="23"/>
      <c r="Q99" s="83"/>
      <c r="R99" s="1"/>
      <c r="S99" s="45"/>
      <c r="T99" s="23"/>
      <c r="U99" s="23"/>
      <c r="V99" s="23"/>
      <c r="W99" s="23"/>
      <c r="X99" s="23"/>
      <c r="Y99" s="23"/>
      <c r="Z99" s="83"/>
      <c r="AA99" s="1"/>
      <c r="AB99" s="45"/>
      <c r="AC99" s="27"/>
      <c r="AD99" s="33"/>
      <c r="AE99" s="146"/>
      <c r="AF99" s="143"/>
      <c r="AG99" s="146"/>
      <c r="AH99" s="150"/>
      <c r="AI99" s="202"/>
      <c r="AJ99" s="131"/>
      <c r="AK99" s="170"/>
      <c r="AL99" s="166"/>
      <c r="AM99" s="131"/>
      <c r="AN99" s="170"/>
      <c r="AO99" s="166"/>
      <c r="AP99" s="121"/>
      <c r="AQ99" s="121"/>
      <c r="AR99" s="29"/>
      <c r="AS99" s="28"/>
      <c r="AT99" s="29"/>
      <c r="AU99" s="153"/>
      <c r="AV99" s="121"/>
      <c r="AW99" s="29"/>
      <c r="AX99" s="121"/>
      <c r="AY99" s="28"/>
      <c r="AZ99" s="121"/>
      <c r="BA99" s="28"/>
      <c r="BB99" s="133"/>
      <c r="BC99" s="133"/>
      <c r="BD99" s="83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</row>
    <row r="100" spans="1:120" ht="15" x14ac:dyDescent="0.25">
      <c r="A100" s="1"/>
      <c r="B100" s="1"/>
      <c r="C100" s="52"/>
      <c r="D100" s="86"/>
      <c r="E100" s="86"/>
      <c r="F100" s="23"/>
      <c r="G100" s="113"/>
      <c r="H100" s="114"/>
      <c r="I100" s="224"/>
      <c r="J100" s="271"/>
      <c r="K100" s="23"/>
      <c r="L100" s="23"/>
      <c r="M100" s="23"/>
      <c r="N100" s="23"/>
      <c r="O100" s="23"/>
      <c r="P100" s="23"/>
      <c r="Q100" s="83"/>
      <c r="R100" s="1"/>
      <c r="S100" s="45"/>
      <c r="T100" s="23"/>
      <c r="U100" s="23"/>
      <c r="V100" s="23"/>
      <c r="W100" s="23"/>
      <c r="X100" s="23"/>
      <c r="Y100" s="23"/>
      <c r="Z100" s="83"/>
      <c r="AA100" s="1"/>
      <c r="AB100" s="45"/>
      <c r="AC100" s="27"/>
      <c r="AD100" s="33"/>
      <c r="AE100" s="146"/>
      <c r="AF100" s="143"/>
      <c r="AG100" s="146"/>
      <c r="AH100" s="150"/>
      <c r="AI100" s="202"/>
      <c r="AJ100" s="131"/>
      <c r="AK100" s="170"/>
      <c r="AL100" s="166"/>
      <c r="AM100" s="131"/>
      <c r="AN100" s="170"/>
      <c r="AO100" s="166"/>
      <c r="AP100" s="121"/>
      <c r="AQ100" s="121"/>
      <c r="AR100" s="29"/>
      <c r="AS100" s="28"/>
      <c r="AT100" s="29"/>
      <c r="AU100" s="153"/>
      <c r="AV100" s="121"/>
      <c r="AW100" s="29"/>
      <c r="AX100" s="121"/>
      <c r="AY100" s="28"/>
      <c r="AZ100" s="121"/>
      <c r="BA100" s="28"/>
      <c r="BB100" s="133"/>
      <c r="BC100" s="133"/>
      <c r="BD100" s="83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</row>
    <row r="101" spans="1:120" ht="15" x14ac:dyDescent="0.25">
      <c r="A101" s="1"/>
      <c r="B101" s="1"/>
      <c r="C101" s="52"/>
      <c r="F101" s="23"/>
      <c r="G101" s="113"/>
      <c r="H101" s="114"/>
      <c r="I101" s="224"/>
      <c r="J101" s="271"/>
      <c r="K101" s="23"/>
      <c r="L101" s="23"/>
      <c r="M101" s="23"/>
      <c r="N101" s="23"/>
      <c r="O101" s="23"/>
      <c r="P101" s="23"/>
      <c r="Q101" s="83"/>
      <c r="R101" s="1"/>
      <c r="S101" s="45"/>
      <c r="T101" s="23"/>
      <c r="U101" s="23"/>
      <c r="V101" s="23"/>
      <c r="W101" s="23"/>
      <c r="X101" s="23"/>
      <c r="Y101" s="23"/>
      <c r="Z101" s="83"/>
      <c r="AA101" s="1"/>
      <c r="AB101" s="45"/>
      <c r="AC101" s="187"/>
      <c r="AD101" s="33"/>
      <c r="AE101" s="146"/>
      <c r="AF101" s="143"/>
      <c r="AG101" s="146"/>
      <c r="AH101" s="150"/>
      <c r="AI101" s="202"/>
      <c r="AJ101" s="131"/>
      <c r="AK101" s="170"/>
      <c r="AL101" s="166"/>
      <c r="AM101" s="131"/>
      <c r="AN101" s="170"/>
      <c r="AO101" s="166"/>
      <c r="AP101" s="121"/>
      <c r="AQ101" s="121"/>
      <c r="AR101" s="29"/>
      <c r="AS101" s="28"/>
      <c r="AT101" s="29"/>
      <c r="AU101" s="153"/>
      <c r="AV101" s="121"/>
      <c r="AW101" s="29"/>
      <c r="AX101" s="121"/>
      <c r="AY101" s="28"/>
      <c r="AZ101" s="121"/>
      <c r="BA101" s="28"/>
      <c r="BB101" s="133"/>
      <c r="BC101" s="133"/>
      <c r="BD101" s="83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</row>
    <row r="102" spans="1:120" ht="15" x14ac:dyDescent="0.25">
      <c r="A102" s="1"/>
      <c r="B102" s="1"/>
      <c r="C102" s="52"/>
      <c r="D102" s="86"/>
      <c r="E102" s="86"/>
      <c r="F102" s="23"/>
      <c r="G102" s="113"/>
      <c r="H102" s="114"/>
      <c r="I102" s="224"/>
      <c r="J102" s="271"/>
      <c r="K102" s="23"/>
      <c r="L102" s="23"/>
      <c r="M102" s="23"/>
      <c r="N102" s="23"/>
      <c r="O102" s="23"/>
      <c r="P102" s="23"/>
      <c r="Q102" s="83"/>
      <c r="R102" s="1"/>
      <c r="S102" s="45"/>
      <c r="T102" s="23"/>
      <c r="U102" s="23"/>
      <c r="V102" s="23"/>
      <c r="W102" s="23"/>
      <c r="X102" s="23"/>
      <c r="Y102" s="23"/>
      <c r="Z102" s="83"/>
      <c r="AA102" s="1"/>
      <c r="AB102" s="45"/>
      <c r="AC102" s="27"/>
      <c r="AD102" s="33"/>
      <c r="AE102" s="146"/>
      <c r="AF102" s="143"/>
      <c r="AG102" s="146"/>
      <c r="AH102" s="150"/>
      <c r="AI102" s="202"/>
      <c r="AJ102" s="131"/>
      <c r="AK102" s="170"/>
      <c r="AL102" s="166"/>
      <c r="AM102" s="131"/>
      <c r="AN102" s="170"/>
      <c r="AO102" s="166"/>
      <c r="AP102" s="121"/>
      <c r="AQ102" s="121"/>
      <c r="AR102" s="29"/>
      <c r="AS102" s="28"/>
      <c r="AT102" s="29"/>
      <c r="AU102" s="153"/>
      <c r="AV102" s="121"/>
      <c r="AW102" s="29"/>
      <c r="AX102" s="121"/>
      <c r="AY102" s="28"/>
      <c r="AZ102" s="121"/>
      <c r="BA102" s="28"/>
      <c r="BB102" s="133"/>
      <c r="BC102" s="133"/>
      <c r="BD102" s="83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</row>
    <row r="103" spans="1:120" ht="15" x14ac:dyDescent="0.25">
      <c r="A103" s="1"/>
      <c r="B103" s="1"/>
      <c r="C103" s="52"/>
      <c r="D103" s="86"/>
      <c r="E103" s="86"/>
      <c r="F103" s="23"/>
      <c r="G103" s="113"/>
      <c r="H103" s="114"/>
      <c r="I103" s="224"/>
      <c r="J103" s="271"/>
      <c r="K103" s="23"/>
      <c r="L103" s="23"/>
      <c r="M103" s="23"/>
      <c r="N103" s="23"/>
      <c r="O103" s="23"/>
      <c r="P103" s="23"/>
      <c r="Q103" s="83"/>
      <c r="R103" s="1"/>
      <c r="S103" s="45"/>
      <c r="T103" s="23"/>
      <c r="U103" s="23"/>
      <c r="V103" s="23"/>
      <c r="W103" s="23"/>
      <c r="X103" s="23"/>
      <c r="Y103" s="23"/>
      <c r="Z103" s="83"/>
      <c r="AA103" s="1"/>
      <c r="AB103" s="45"/>
      <c r="AC103" s="27"/>
      <c r="AD103" s="33"/>
      <c r="AE103" s="146"/>
      <c r="AF103" s="143"/>
      <c r="AG103" s="146"/>
      <c r="AH103" s="150"/>
      <c r="AI103" s="202"/>
      <c r="AJ103" s="131"/>
      <c r="AK103" s="170"/>
      <c r="AL103" s="166"/>
      <c r="AM103" s="131"/>
      <c r="AN103" s="170"/>
      <c r="AO103" s="166"/>
      <c r="AP103" s="121"/>
      <c r="AQ103" s="121"/>
      <c r="AR103" s="29"/>
      <c r="AS103" s="28"/>
      <c r="AT103" s="29"/>
      <c r="AU103" s="153"/>
      <c r="AV103" s="121"/>
      <c r="AW103" s="29"/>
      <c r="AX103" s="121"/>
      <c r="AY103" s="28"/>
      <c r="AZ103" s="121"/>
      <c r="BA103" s="28"/>
      <c r="BB103" s="133"/>
      <c r="BC103" s="133"/>
      <c r="BD103" s="83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</row>
    <row r="104" spans="1:120" ht="15" x14ac:dyDescent="0.25">
      <c r="A104" s="1"/>
      <c r="B104" s="1"/>
      <c r="C104" s="52"/>
      <c r="D104" s="86"/>
      <c r="E104" s="86"/>
      <c r="F104" s="23"/>
      <c r="G104" s="113"/>
      <c r="H104" s="114"/>
      <c r="I104" s="224"/>
      <c r="J104" s="271"/>
      <c r="K104" s="23"/>
      <c r="L104" s="23"/>
      <c r="M104" s="23"/>
      <c r="N104" s="23"/>
      <c r="O104" s="23"/>
      <c r="P104" s="23"/>
      <c r="Q104" s="83"/>
      <c r="R104" s="1"/>
      <c r="S104" s="45"/>
      <c r="T104" s="23"/>
      <c r="U104" s="23"/>
      <c r="V104" s="23"/>
      <c r="W104" s="23"/>
      <c r="X104" s="23"/>
      <c r="Y104" s="23"/>
      <c r="Z104" s="83"/>
      <c r="AA104" s="1"/>
      <c r="AB104" s="45"/>
      <c r="AC104" s="27"/>
      <c r="AD104" s="33"/>
      <c r="AE104" s="146"/>
      <c r="AF104" s="143"/>
      <c r="AG104" s="146"/>
      <c r="AH104" s="150"/>
      <c r="AI104" s="202"/>
      <c r="AJ104" s="131"/>
      <c r="AK104" s="170"/>
      <c r="AL104" s="166"/>
      <c r="AM104" s="131"/>
      <c r="AN104" s="170"/>
      <c r="AO104" s="166"/>
      <c r="AP104" s="121"/>
      <c r="AQ104" s="121"/>
      <c r="AR104" s="29"/>
      <c r="AS104" s="28"/>
      <c r="AT104" s="29"/>
      <c r="AU104" s="153"/>
      <c r="AV104" s="121"/>
      <c r="AW104" s="29"/>
      <c r="AX104" s="121"/>
      <c r="AY104" s="28"/>
      <c r="AZ104" s="121"/>
      <c r="BA104" s="28"/>
      <c r="BB104" s="133"/>
      <c r="BC104" s="133"/>
      <c r="BD104" s="83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</row>
    <row r="105" spans="1:120" ht="15" x14ac:dyDescent="0.25">
      <c r="A105" s="1"/>
      <c r="B105" s="1"/>
      <c r="C105" s="52"/>
      <c r="D105" s="86"/>
      <c r="E105" s="86"/>
      <c r="F105" s="23"/>
      <c r="G105" s="113"/>
      <c r="H105" s="114"/>
      <c r="I105" s="224"/>
      <c r="J105" s="271"/>
      <c r="K105" s="23"/>
      <c r="L105" s="23"/>
      <c r="M105" s="23"/>
      <c r="N105" s="23"/>
      <c r="O105" s="23"/>
      <c r="P105" s="23"/>
      <c r="Q105" s="83"/>
      <c r="R105" s="1"/>
      <c r="S105" s="45"/>
      <c r="T105" s="23"/>
      <c r="U105" s="23"/>
      <c r="V105" s="23"/>
      <c r="W105" s="23"/>
      <c r="X105" s="23"/>
      <c r="Y105" s="23"/>
      <c r="Z105" s="83"/>
      <c r="AA105" s="1"/>
      <c r="AB105" s="45"/>
      <c r="AC105" s="27"/>
      <c r="AD105" s="33"/>
      <c r="AE105" s="146"/>
      <c r="AF105" s="143"/>
      <c r="AG105" s="146"/>
      <c r="AH105" s="150"/>
      <c r="AI105" s="202"/>
      <c r="AJ105" s="131"/>
      <c r="AK105" s="170"/>
      <c r="AL105" s="166"/>
      <c r="AM105" s="131"/>
      <c r="AN105" s="170"/>
      <c r="AO105" s="166"/>
      <c r="AP105" s="121"/>
      <c r="AQ105" s="121"/>
      <c r="AR105" s="29"/>
      <c r="AS105" s="28"/>
      <c r="AT105" s="29"/>
      <c r="AU105" s="153"/>
      <c r="AV105" s="121"/>
      <c r="AW105" s="29"/>
      <c r="AX105" s="121"/>
      <c r="AY105" s="28"/>
      <c r="AZ105" s="121"/>
      <c r="BA105" s="28"/>
      <c r="BB105" s="133"/>
      <c r="BC105" s="133"/>
      <c r="BD105" s="83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</row>
    <row r="106" spans="1:120" ht="15" x14ac:dyDescent="0.25">
      <c r="A106" s="1"/>
      <c r="B106" s="1"/>
      <c r="C106" s="52"/>
      <c r="D106" s="86"/>
      <c r="E106" s="86"/>
      <c r="F106" s="23"/>
      <c r="G106" s="113"/>
      <c r="H106" s="114"/>
      <c r="I106" s="224"/>
      <c r="J106" s="271"/>
      <c r="K106" s="23"/>
      <c r="L106" s="23"/>
      <c r="M106" s="23"/>
      <c r="N106" s="23"/>
      <c r="O106" s="23"/>
      <c r="P106" s="23"/>
      <c r="Q106" s="83"/>
      <c r="R106" s="1"/>
      <c r="S106" s="45"/>
      <c r="T106" s="23"/>
      <c r="U106" s="23"/>
      <c r="V106" s="23"/>
      <c r="W106" s="23"/>
      <c r="X106" s="23"/>
      <c r="Y106" s="23"/>
      <c r="Z106" s="83"/>
      <c r="AA106" s="1"/>
      <c r="AB106" s="45"/>
      <c r="AC106" s="27"/>
      <c r="AD106" s="33"/>
      <c r="AE106" s="146"/>
      <c r="AF106" s="143"/>
      <c r="AG106" s="146"/>
      <c r="AH106" s="150"/>
      <c r="AI106" s="202"/>
      <c r="AJ106" s="131"/>
      <c r="AK106" s="170"/>
      <c r="AL106" s="166"/>
      <c r="AM106" s="131"/>
      <c r="AN106" s="170"/>
      <c r="AO106" s="166"/>
      <c r="AP106" s="121"/>
      <c r="AQ106" s="121"/>
      <c r="AR106" s="29"/>
      <c r="AS106" s="28"/>
      <c r="AT106" s="29"/>
      <c r="AU106" s="153"/>
      <c r="AV106" s="121"/>
      <c r="AW106" s="29"/>
      <c r="AX106" s="121"/>
      <c r="AY106" s="28"/>
      <c r="AZ106" s="121"/>
      <c r="BA106" s="28"/>
      <c r="BB106" s="133"/>
      <c r="BC106" s="133"/>
      <c r="BD106" s="83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</row>
    <row r="107" spans="1:120" ht="15" x14ac:dyDescent="0.25">
      <c r="A107" s="1"/>
      <c r="B107" s="1"/>
      <c r="C107" s="52"/>
      <c r="D107" s="139"/>
      <c r="E107" s="9"/>
      <c r="F107" s="23"/>
      <c r="G107" s="113"/>
      <c r="H107" s="114"/>
      <c r="I107" s="224"/>
      <c r="J107" s="271"/>
      <c r="K107" s="23"/>
      <c r="L107" s="23"/>
      <c r="M107" s="23"/>
      <c r="N107" s="23"/>
      <c r="O107" s="23"/>
      <c r="P107" s="23"/>
      <c r="Q107" s="83"/>
      <c r="R107" s="1"/>
      <c r="S107" s="45"/>
      <c r="T107" s="23"/>
      <c r="U107" s="23"/>
      <c r="V107" s="23"/>
      <c r="W107" s="23"/>
      <c r="X107" s="23"/>
      <c r="Y107" s="23"/>
      <c r="Z107" s="83"/>
      <c r="AA107" s="1"/>
      <c r="AB107" s="45"/>
      <c r="AC107" s="30"/>
      <c r="AD107" s="34"/>
      <c r="AE107" s="147"/>
      <c r="AF107" s="144"/>
      <c r="AG107" s="147"/>
      <c r="AH107" s="151"/>
      <c r="AI107" s="207"/>
      <c r="AJ107" s="132"/>
      <c r="AK107" s="171"/>
      <c r="AL107" s="167"/>
      <c r="AM107" s="132"/>
      <c r="AN107" s="171"/>
      <c r="AO107" s="167"/>
      <c r="AP107" s="123"/>
      <c r="AQ107" s="123"/>
      <c r="AR107" s="32"/>
      <c r="AS107" s="31"/>
      <c r="AT107" s="32"/>
      <c r="AU107" s="154"/>
      <c r="AV107" s="123"/>
      <c r="AW107" s="32"/>
      <c r="AX107" s="123"/>
      <c r="AY107" s="31"/>
      <c r="AZ107" s="123"/>
      <c r="BA107" s="31"/>
      <c r="BB107" s="135"/>
      <c r="BC107" s="135"/>
      <c r="BD107" s="83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</row>
    <row r="108" spans="1:120" ht="15" x14ac:dyDescent="0.25">
      <c r="A108" s="1"/>
      <c r="B108" s="1"/>
      <c r="C108" s="52"/>
      <c r="D108" s="86"/>
      <c r="E108" s="86"/>
      <c r="F108" s="23"/>
      <c r="G108" s="113"/>
      <c r="H108" s="114"/>
      <c r="I108" s="224"/>
      <c r="J108" s="271"/>
      <c r="K108" s="23"/>
      <c r="L108" s="23"/>
      <c r="M108" s="23"/>
      <c r="N108" s="23"/>
      <c r="O108" s="23"/>
      <c r="P108" s="23"/>
      <c r="Q108" s="83"/>
      <c r="R108" s="1"/>
      <c r="S108" s="45"/>
      <c r="T108" s="23"/>
      <c r="U108" s="23"/>
      <c r="V108" s="23"/>
      <c r="W108" s="23"/>
      <c r="X108" s="23"/>
      <c r="Y108" s="23"/>
      <c r="Z108" s="83"/>
      <c r="AA108" s="1"/>
      <c r="AB108" s="45"/>
      <c r="AC108" s="184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136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136"/>
      <c r="BD108" s="83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</row>
    <row r="109" spans="1:120" ht="15" x14ac:dyDescent="0.25">
      <c r="A109" s="1"/>
      <c r="B109" s="1"/>
      <c r="C109" s="52"/>
      <c r="D109" s="86"/>
      <c r="E109" s="86"/>
      <c r="F109" s="23"/>
      <c r="G109" s="113"/>
      <c r="H109" s="114"/>
      <c r="I109" s="224"/>
      <c r="J109" s="271"/>
      <c r="K109" s="23"/>
      <c r="L109" s="23"/>
      <c r="M109" s="23"/>
      <c r="N109" s="23"/>
      <c r="O109" s="23"/>
      <c r="P109" s="23"/>
      <c r="Q109" s="83"/>
      <c r="R109" s="1"/>
      <c r="S109" s="45"/>
      <c r="T109" s="23"/>
      <c r="U109" s="23"/>
      <c r="V109" s="23"/>
      <c r="W109" s="23"/>
      <c r="X109" s="23"/>
      <c r="Y109" s="23"/>
      <c r="Z109" s="83"/>
      <c r="AA109" s="1"/>
      <c r="AB109" s="46"/>
      <c r="AC109" s="185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5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</row>
    <row r="110" spans="1:120" ht="15" x14ac:dyDescent="0.25">
      <c r="A110" s="1"/>
      <c r="B110" s="1"/>
      <c r="C110" s="52"/>
      <c r="D110" s="86"/>
      <c r="E110" s="86"/>
      <c r="F110" s="23"/>
      <c r="G110" s="113"/>
      <c r="H110" s="114"/>
      <c r="I110" s="224"/>
      <c r="J110" s="271"/>
      <c r="K110" s="23"/>
      <c r="L110" s="23"/>
      <c r="M110" s="23"/>
      <c r="N110" s="23"/>
      <c r="O110" s="23"/>
      <c r="P110" s="23"/>
      <c r="Q110" s="83"/>
      <c r="R110" s="1"/>
      <c r="S110" s="45"/>
      <c r="T110" s="23"/>
      <c r="U110" s="23"/>
      <c r="V110" s="23"/>
      <c r="W110" s="23"/>
      <c r="X110" s="23"/>
      <c r="Y110" s="23"/>
      <c r="Z110" s="83"/>
      <c r="AA110" s="1"/>
      <c r="AB110" s="1"/>
      <c r="AC110" s="186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</row>
    <row r="111" spans="1:120" ht="15" x14ac:dyDescent="0.25">
      <c r="A111" s="1"/>
      <c r="B111" s="1"/>
      <c r="C111" s="52"/>
      <c r="D111" s="86"/>
      <c r="E111" s="86"/>
      <c r="F111" s="23"/>
      <c r="G111" s="113"/>
      <c r="H111" s="114"/>
      <c r="I111" s="224"/>
      <c r="J111" s="271"/>
      <c r="K111" s="23"/>
      <c r="L111" s="23"/>
      <c r="M111" s="23"/>
      <c r="N111" s="23"/>
      <c r="O111" s="23"/>
      <c r="P111" s="23"/>
      <c r="Q111" s="83"/>
      <c r="R111" s="1"/>
      <c r="S111" s="45"/>
      <c r="T111" s="23"/>
      <c r="U111" s="23"/>
      <c r="V111" s="23"/>
      <c r="W111" s="23"/>
      <c r="X111" s="23"/>
      <c r="Y111" s="23"/>
      <c r="Z111" s="83"/>
      <c r="AA111" s="1"/>
      <c r="AB111" s="1"/>
      <c r="AC111" s="186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</row>
    <row r="112" spans="1:120" ht="15" x14ac:dyDescent="0.25">
      <c r="A112" s="1"/>
      <c r="B112" s="1"/>
      <c r="C112" s="52"/>
      <c r="D112" s="86"/>
      <c r="E112" s="86"/>
      <c r="F112" s="23"/>
      <c r="G112" s="113"/>
      <c r="H112" s="114"/>
      <c r="I112" s="224"/>
      <c r="J112" s="271"/>
      <c r="K112" s="23"/>
      <c r="L112" s="23"/>
      <c r="M112" s="23"/>
      <c r="N112" s="23"/>
      <c r="O112" s="23"/>
      <c r="P112" s="23"/>
      <c r="Q112" s="83"/>
      <c r="R112" s="1"/>
      <c r="S112" s="45"/>
      <c r="T112" s="23"/>
      <c r="U112" s="23"/>
      <c r="V112" s="23"/>
      <c r="W112" s="23"/>
      <c r="X112" s="23"/>
      <c r="Y112" s="23"/>
      <c r="Z112" s="83"/>
      <c r="AA112" s="1"/>
      <c r="AB112" s="1"/>
      <c r="AC112" s="186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</row>
    <row r="113" spans="1:120" ht="15" x14ac:dyDescent="0.25">
      <c r="A113" s="1"/>
      <c r="B113" s="1"/>
      <c r="C113" s="52"/>
      <c r="D113" s="86"/>
      <c r="E113" s="86"/>
      <c r="F113" s="23"/>
      <c r="G113" s="113"/>
      <c r="H113" s="114"/>
      <c r="I113" s="224"/>
      <c r="J113" s="271"/>
      <c r="K113" s="23"/>
      <c r="L113" s="23"/>
      <c r="M113" s="23"/>
      <c r="N113" s="23"/>
      <c r="O113" s="23"/>
      <c r="P113" s="23"/>
      <c r="Q113" s="83"/>
      <c r="R113" s="1"/>
      <c r="S113" s="45"/>
      <c r="T113" s="23"/>
      <c r="U113" s="23"/>
      <c r="V113" s="23"/>
      <c r="W113" s="23"/>
      <c r="X113" s="23"/>
      <c r="Y113" s="23"/>
      <c r="Z113" s="83"/>
      <c r="AA113" s="1"/>
      <c r="AB113" s="1"/>
      <c r="AC113" s="186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</row>
    <row r="114" spans="1:120" ht="15" x14ac:dyDescent="0.25">
      <c r="A114" s="1"/>
      <c r="B114" s="1"/>
      <c r="C114" s="52"/>
      <c r="D114" s="86"/>
      <c r="E114" s="86"/>
      <c r="F114" s="23"/>
      <c r="G114" s="113"/>
      <c r="H114" s="114"/>
      <c r="I114" s="224"/>
      <c r="J114" s="271"/>
      <c r="K114" s="23"/>
      <c r="L114" s="23"/>
      <c r="M114" s="23"/>
      <c r="N114" s="23"/>
      <c r="O114" s="23"/>
      <c r="P114" s="23"/>
      <c r="Q114" s="83"/>
      <c r="R114" s="1"/>
      <c r="S114" s="45"/>
      <c r="T114" s="23"/>
      <c r="U114" s="23"/>
      <c r="V114" s="23"/>
      <c r="W114" s="23"/>
      <c r="X114" s="23"/>
      <c r="Y114" s="23"/>
      <c r="Z114" s="83"/>
      <c r="AA114" s="1"/>
      <c r="AB114" s="1"/>
      <c r="AC114" s="186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</row>
    <row r="115" spans="1:120" ht="15" x14ac:dyDescent="0.25">
      <c r="A115" s="1"/>
      <c r="B115" s="1"/>
      <c r="C115" s="52"/>
      <c r="D115" s="86"/>
      <c r="E115" s="86"/>
      <c r="F115" s="23"/>
      <c r="G115" s="113"/>
      <c r="H115" s="114"/>
      <c r="I115" s="224"/>
      <c r="J115" s="271"/>
      <c r="K115" s="23"/>
      <c r="L115" s="23"/>
      <c r="M115" s="23"/>
      <c r="N115" s="23"/>
      <c r="O115" s="23"/>
      <c r="P115" s="23"/>
      <c r="Q115" s="83"/>
      <c r="R115" s="1"/>
      <c r="S115" s="45"/>
      <c r="T115" s="23"/>
      <c r="U115" s="23"/>
      <c r="V115" s="23"/>
      <c r="W115" s="23"/>
      <c r="X115" s="23"/>
      <c r="Y115" s="23"/>
      <c r="Z115" s="8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</row>
    <row r="116" spans="1:120" ht="15" x14ac:dyDescent="0.25">
      <c r="A116" s="1"/>
      <c r="B116" s="1"/>
      <c r="C116" s="52"/>
      <c r="D116" s="86"/>
      <c r="E116" s="86"/>
      <c r="F116" s="23"/>
      <c r="G116" s="113"/>
      <c r="H116" s="114"/>
      <c r="I116" s="224"/>
      <c r="J116" s="271"/>
      <c r="K116" s="23"/>
      <c r="L116" s="23"/>
      <c r="M116" s="23"/>
      <c r="N116" s="23"/>
      <c r="O116" s="23"/>
      <c r="P116" s="23"/>
      <c r="Q116" s="83"/>
      <c r="R116" s="1"/>
      <c r="S116" s="45"/>
      <c r="T116" s="23"/>
      <c r="U116" s="23"/>
      <c r="V116" s="23"/>
      <c r="W116" s="23"/>
      <c r="X116" s="23"/>
      <c r="Y116" s="23"/>
      <c r="Z116" s="8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</row>
    <row r="117" spans="1:120" ht="15" x14ac:dyDescent="0.25">
      <c r="A117" s="1"/>
      <c r="B117" s="1"/>
      <c r="C117" s="52"/>
      <c r="D117" s="86"/>
      <c r="E117" s="86"/>
      <c r="F117" s="23"/>
      <c r="G117" s="113"/>
      <c r="H117" s="114"/>
      <c r="I117" s="224"/>
      <c r="J117" s="271"/>
      <c r="K117" s="23"/>
      <c r="L117" s="23"/>
      <c r="M117" s="23"/>
      <c r="N117" s="23"/>
      <c r="O117" s="23"/>
      <c r="P117" s="23"/>
      <c r="Q117" s="83"/>
      <c r="R117" s="1"/>
      <c r="S117" s="45"/>
      <c r="T117" s="23"/>
      <c r="U117" s="23"/>
      <c r="V117" s="23"/>
      <c r="W117" s="23"/>
      <c r="X117" s="23"/>
      <c r="Y117" s="23"/>
      <c r="Z117" s="8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</row>
    <row r="118" spans="1:120" ht="15" x14ac:dyDescent="0.25">
      <c r="A118" s="1"/>
      <c r="B118" s="1"/>
      <c r="C118" s="52"/>
      <c r="D118" s="86"/>
      <c r="E118" s="86"/>
      <c r="F118" s="23"/>
      <c r="G118" s="113"/>
      <c r="H118" s="114"/>
      <c r="I118" s="224"/>
      <c r="J118" s="271"/>
      <c r="K118" s="23"/>
      <c r="L118" s="23"/>
      <c r="M118" s="23"/>
      <c r="N118" s="23"/>
      <c r="O118" s="23"/>
      <c r="P118" s="23"/>
      <c r="Q118" s="83"/>
      <c r="R118" s="1"/>
      <c r="S118" s="45"/>
      <c r="T118" s="23"/>
      <c r="U118" s="23"/>
      <c r="V118" s="23"/>
      <c r="W118" s="23"/>
      <c r="X118" s="23"/>
      <c r="Y118" s="23"/>
      <c r="Z118" s="8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</row>
    <row r="119" spans="1:120" ht="15" x14ac:dyDescent="0.25">
      <c r="A119" s="1"/>
      <c r="B119" s="1"/>
      <c r="C119" s="52"/>
      <c r="D119" s="86"/>
      <c r="E119" s="86"/>
      <c r="F119" s="23"/>
      <c r="G119" s="113"/>
      <c r="H119" s="114"/>
      <c r="I119" s="224"/>
      <c r="J119" s="271"/>
      <c r="K119" s="23"/>
      <c r="L119" s="23"/>
      <c r="M119" s="23"/>
      <c r="N119" s="23"/>
      <c r="O119" s="23"/>
      <c r="P119" s="23"/>
      <c r="Q119" s="83"/>
      <c r="R119" s="1"/>
      <c r="S119" s="45"/>
      <c r="T119" s="23"/>
      <c r="U119" s="23"/>
      <c r="V119" s="23"/>
      <c r="W119" s="23"/>
      <c r="X119" s="23"/>
      <c r="Y119" s="23"/>
      <c r="Z119" s="8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</row>
    <row r="120" spans="1:120" ht="15" x14ac:dyDescent="0.25">
      <c r="A120" s="1"/>
      <c r="B120" s="1"/>
      <c r="C120" s="52"/>
      <c r="D120" s="86"/>
      <c r="E120" s="86"/>
      <c r="F120" s="23"/>
      <c r="G120" s="113"/>
      <c r="H120" s="114"/>
      <c r="I120" s="224"/>
      <c r="J120" s="271"/>
      <c r="K120" s="23"/>
      <c r="L120" s="23"/>
      <c r="M120" s="23"/>
      <c r="N120" s="23"/>
      <c r="O120" s="23"/>
      <c r="P120" s="23"/>
      <c r="Q120" s="83"/>
      <c r="R120" s="1"/>
      <c r="S120" s="45"/>
      <c r="T120" s="23"/>
      <c r="U120" s="23"/>
      <c r="V120" s="23"/>
      <c r="W120" s="23"/>
      <c r="X120" s="23"/>
      <c r="Y120" s="23"/>
      <c r="Z120" s="8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</row>
    <row r="121" spans="1:120" ht="15" x14ac:dyDescent="0.25">
      <c r="A121" s="1"/>
      <c r="B121" s="1"/>
      <c r="C121" s="52"/>
      <c r="D121" s="86"/>
      <c r="E121" s="86"/>
      <c r="F121" s="23"/>
      <c r="G121" s="113"/>
      <c r="H121" s="114"/>
      <c r="I121" s="224"/>
      <c r="J121" s="271"/>
      <c r="K121" s="23"/>
      <c r="L121" s="23"/>
      <c r="M121" s="23"/>
      <c r="N121" s="23"/>
      <c r="O121" s="23"/>
      <c r="P121" s="23"/>
      <c r="Q121" s="83"/>
      <c r="R121" s="1"/>
      <c r="S121" s="45"/>
      <c r="T121" s="23"/>
      <c r="U121" s="23"/>
      <c r="V121" s="1"/>
      <c r="W121" s="23"/>
      <c r="X121" s="23"/>
      <c r="Y121" s="23"/>
      <c r="Z121" s="8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</row>
    <row r="122" spans="1:120" ht="15" x14ac:dyDescent="0.25">
      <c r="A122" s="1"/>
      <c r="B122" s="1"/>
      <c r="C122" s="52"/>
      <c r="D122" s="86"/>
      <c r="E122" s="86"/>
      <c r="F122" s="23"/>
      <c r="G122" s="113"/>
      <c r="H122" s="114"/>
      <c r="I122" s="224"/>
      <c r="J122" s="271"/>
      <c r="K122" s="23"/>
      <c r="L122" s="23"/>
      <c r="M122" s="23"/>
      <c r="N122" s="23"/>
      <c r="O122" s="23"/>
      <c r="P122" s="23"/>
      <c r="Q122" s="83"/>
      <c r="R122" s="1"/>
      <c r="S122" s="45"/>
      <c r="T122" s="23"/>
      <c r="U122" s="23"/>
      <c r="V122" s="1"/>
      <c r="W122" s="23"/>
      <c r="X122" s="23"/>
      <c r="Y122" s="23"/>
      <c r="Z122" s="8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</row>
    <row r="123" spans="1:120" ht="15" x14ac:dyDescent="0.25">
      <c r="A123" s="1"/>
      <c r="B123" s="1"/>
      <c r="C123" s="52"/>
      <c r="D123" s="86"/>
      <c r="E123" s="86"/>
      <c r="F123" s="23"/>
      <c r="G123" s="113"/>
      <c r="H123" s="114"/>
      <c r="I123" s="224"/>
      <c r="J123" s="271"/>
      <c r="K123" s="23"/>
      <c r="L123" s="23"/>
      <c r="M123" s="23"/>
      <c r="N123" s="23"/>
      <c r="O123" s="23"/>
      <c r="P123" s="23"/>
      <c r="Q123" s="83"/>
      <c r="R123" s="1"/>
      <c r="S123" s="45"/>
      <c r="T123" s="23"/>
      <c r="U123" s="23"/>
      <c r="V123" s="1"/>
      <c r="W123" s="23"/>
      <c r="X123" s="23"/>
      <c r="Y123" s="23"/>
      <c r="Z123" s="8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</row>
    <row r="124" spans="1:120" ht="15" x14ac:dyDescent="0.25">
      <c r="A124" s="1"/>
      <c r="B124" s="1"/>
      <c r="C124" s="52"/>
      <c r="D124" s="86"/>
      <c r="E124" s="86"/>
      <c r="F124" s="23"/>
      <c r="G124" s="113"/>
      <c r="H124" s="114"/>
      <c r="I124" s="224"/>
      <c r="J124" s="271"/>
      <c r="K124" s="23"/>
      <c r="L124" s="23"/>
      <c r="M124" s="23"/>
      <c r="N124" s="23"/>
      <c r="O124" s="23"/>
      <c r="P124" s="23"/>
      <c r="Q124" s="83"/>
      <c r="R124" s="1"/>
      <c r="S124" s="45"/>
      <c r="T124" s="23"/>
      <c r="U124" s="23"/>
      <c r="V124" s="1"/>
      <c r="W124" s="23"/>
      <c r="X124" s="23"/>
      <c r="Y124" s="23"/>
      <c r="Z124" s="8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</row>
    <row r="125" spans="1:120" ht="15" x14ac:dyDescent="0.25">
      <c r="A125" s="1"/>
      <c r="B125" s="1"/>
      <c r="C125" s="52"/>
      <c r="D125" s="86"/>
      <c r="E125" s="86"/>
      <c r="F125" s="23"/>
      <c r="G125" s="113"/>
      <c r="H125" s="114"/>
      <c r="I125" s="224"/>
      <c r="J125" s="271"/>
      <c r="K125" s="23"/>
      <c r="L125" s="23"/>
      <c r="M125" s="23"/>
      <c r="N125" s="23"/>
      <c r="O125" s="23"/>
      <c r="P125" s="23"/>
      <c r="Q125" s="83"/>
      <c r="R125" s="1"/>
      <c r="S125" s="45"/>
      <c r="T125" s="23"/>
      <c r="U125" s="23"/>
      <c r="V125" s="1"/>
      <c r="W125" s="23"/>
      <c r="X125" s="23"/>
      <c r="Y125" s="23"/>
      <c r="Z125" s="8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</row>
    <row r="126" spans="1:120" ht="15" x14ac:dyDescent="0.25">
      <c r="A126" s="1"/>
      <c r="B126" s="1"/>
      <c r="C126" s="52"/>
      <c r="D126" s="86"/>
      <c r="E126" s="86"/>
      <c r="F126" s="23"/>
      <c r="G126" s="113"/>
      <c r="H126" s="114"/>
      <c r="I126" s="224"/>
      <c r="J126" s="271"/>
      <c r="K126" s="23"/>
      <c r="L126" s="23"/>
      <c r="M126" s="23"/>
      <c r="N126" s="23"/>
      <c r="O126" s="23"/>
      <c r="P126" s="23"/>
      <c r="Q126" s="83"/>
      <c r="R126" s="1"/>
      <c r="S126" s="45"/>
      <c r="T126" s="23"/>
      <c r="U126" s="23"/>
      <c r="V126" s="1"/>
      <c r="W126" s="23"/>
      <c r="X126" s="23"/>
      <c r="Y126" s="23"/>
      <c r="Z126" s="8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</row>
    <row r="127" spans="1:120" ht="15" x14ac:dyDescent="0.25">
      <c r="A127" s="1"/>
      <c r="B127" s="1"/>
      <c r="C127" s="52"/>
      <c r="D127" s="86"/>
      <c r="E127" s="86"/>
      <c r="F127" s="23"/>
      <c r="G127" s="113"/>
      <c r="H127" s="114"/>
      <c r="I127" s="224"/>
      <c r="J127" s="271"/>
      <c r="K127" s="23"/>
      <c r="L127" s="23"/>
      <c r="M127" s="23"/>
      <c r="N127" s="23"/>
      <c r="O127" s="23"/>
      <c r="P127" s="23"/>
      <c r="Q127" s="83"/>
      <c r="R127" s="1"/>
      <c r="S127" s="45"/>
      <c r="T127" s="23"/>
      <c r="U127" s="23"/>
      <c r="V127" s="1"/>
      <c r="W127" s="23"/>
      <c r="X127" s="23"/>
      <c r="Y127" s="23"/>
      <c r="Z127" s="8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</row>
    <row r="128" spans="1:120" ht="15" x14ac:dyDescent="0.25">
      <c r="A128" s="1"/>
      <c r="B128" s="1"/>
      <c r="C128" s="52"/>
      <c r="D128" s="86"/>
      <c r="E128" s="86"/>
      <c r="F128" s="23"/>
      <c r="G128" s="113"/>
      <c r="H128" s="114"/>
      <c r="I128" s="224"/>
      <c r="J128" s="271"/>
      <c r="K128" s="23"/>
      <c r="L128" s="23"/>
      <c r="M128" s="23"/>
      <c r="N128" s="23"/>
      <c r="O128" s="23"/>
      <c r="P128" s="23"/>
      <c r="Q128" s="83"/>
      <c r="R128" s="1"/>
      <c r="S128" s="45"/>
      <c r="T128" s="23"/>
      <c r="U128" s="23"/>
      <c r="V128" s="1"/>
      <c r="W128" s="23"/>
      <c r="X128" s="23"/>
      <c r="Y128" s="23"/>
      <c r="Z128" s="8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</row>
    <row r="129" spans="1:120" ht="15" x14ac:dyDescent="0.25">
      <c r="A129" s="1"/>
      <c r="B129" s="1"/>
      <c r="C129" s="52"/>
      <c r="D129" s="86"/>
      <c r="E129" s="86"/>
      <c r="F129" s="23"/>
      <c r="G129" s="113"/>
      <c r="H129" s="114"/>
      <c r="I129" s="224"/>
      <c r="J129" s="271"/>
      <c r="K129" s="23"/>
      <c r="L129" s="23"/>
      <c r="M129" s="23"/>
      <c r="N129" s="23"/>
      <c r="O129" s="23"/>
      <c r="P129" s="23"/>
      <c r="Q129" s="83"/>
      <c r="R129" s="1"/>
      <c r="S129" s="45"/>
      <c r="T129" s="23"/>
      <c r="U129" s="23"/>
      <c r="V129" s="1"/>
      <c r="W129" s="23"/>
      <c r="X129" s="23"/>
      <c r="Y129" s="23"/>
      <c r="Z129" s="8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</row>
    <row r="130" spans="1:120" ht="15" x14ac:dyDescent="0.25">
      <c r="A130" s="1"/>
      <c r="B130" s="1"/>
      <c r="C130" s="52"/>
      <c r="D130" s="86"/>
      <c r="E130" s="86"/>
      <c r="F130" s="23"/>
      <c r="G130" s="113"/>
      <c r="H130" s="114"/>
      <c r="I130" s="224"/>
      <c r="J130" s="271"/>
      <c r="K130" s="23"/>
      <c r="L130" s="23"/>
      <c r="M130" s="23"/>
      <c r="N130" s="23"/>
      <c r="O130" s="23"/>
      <c r="P130" s="23"/>
      <c r="Q130" s="83"/>
      <c r="R130" s="1"/>
      <c r="S130" s="45"/>
      <c r="T130" s="23"/>
      <c r="U130" s="23"/>
      <c r="V130" s="1"/>
      <c r="W130" s="23"/>
      <c r="X130" s="23"/>
      <c r="Y130" s="23"/>
      <c r="Z130" s="8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</row>
    <row r="131" spans="1:120" ht="15" x14ac:dyDescent="0.25">
      <c r="A131" s="1"/>
      <c r="B131" s="1"/>
      <c r="C131" s="52"/>
      <c r="D131" s="86"/>
      <c r="E131" s="86"/>
      <c r="F131" s="23"/>
      <c r="G131" s="113"/>
      <c r="H131" s="114"/>
      <c r="I131" s="224"/>
      <c r="J131" s="271"/>
      <c r="K131" s="23"/>
      <c r="L131" s="23"/>
      <c r="M131" s="23"/>
      <c r="N131" s="23"/>
      <c r="O131" s="23"/>
      <c r="P131" s="23"/>
      <c r="Q131" s="83"/>
      <c r="R131" s="1"/>
      <c r="S131" s="45"/>
      <c r="T131" s="23"/>
      <c r="U131" s="23"/>
      <c r="V131" s="1"/>
      <c r="W131" s="23"/>
      <c r="X131" s="23"/>
      <c r="Y131" s="23"/>
      <c r="Z131" s="8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</row>
    <row r="132" spans="1:120" ht="15" x14ac:dyDescent="0.25">
      <c r="A132" s="1"/>
      <c r="B132" s="1"/>
      <c r="C132" s="52"/>
      <c r="D132" s="86"/>
      <c r="E132" s="86"/>
      <c r="F132" s="23"/>
      <c r="G132" s="113"/>
      <c r="H132" s="114"/>
      <c r="I132" s="224"/>
      <c r="J132" s="271"/>
      <c r="K132" s="23"/>
      <c r="L132" s="23"/>
      <c r="M132" s="23"/>
      <c r="N132" s="23"/>
      <c r="O132" s="23"/>
      <c r="P132" s="23"/>
      <c r="Q132" s="83"/>
      <c r="R132" s="1"/>
      <c r="S132" s="45"/>
      <c r="T132" s="176" t="s">
        <v>2915</v>
      </c>
      <c r="U132" s="176"/>
      <c r="V132" s="176"/>
      <c r="W132" s="176"/>
      <c r="X132" s="176"/>
      <c r="Y132" s="176"/>
      <c r="Z132" s="8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</row>
    <row r="133" spans="1:120" ht="15" x14ac:dyDescent="0.25">
      <c r="A133" s="1"/>
      <c r="B133" s="1"/>
      <c r="C133" s="52"/>
      <c r="D133" s="86"/>
      <c r="E133" s="86"/>
      <c r="F133" s="23"/>
      <c r="G133" s="113"/>
      <c r="H133" s="114"/>
      <c r="I133" s="224"/>
      <c r="J133" s="271"/>
      <c r="K133" s="23"/>
      <c r="L133" s="23"/>
      <c r="M133" s="23"/>
      <c r="N133" s="23"/>
      <c r="O133" s="23"/>
      <c r="P133" s="23"/>
      <c r="Q133" s="83"/>
      <c r="R133" s="1"/>
      <c r="S133" s="45"/>
      <c r="T133" s="176"/>
      <c r="U133" s="176"/>
      <c r="V133" s="176"/>
      <c r="W133" s="176"/>
      <c r="X133" s="176"/>
      <c r="Y133" s="176"/>
      <c r="Z133" s="8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</row>
    <row r="134" spans="1:120" ht="15" x14ac:dyDescent="0.25">
      <c r="A134" s="1"/>
      <c r="B134" s="1"/>
      <c r="C134" s="52"/>
      <c r="D134" s="86"/>
      <c r="E134" s="86"/>
      <c r="F134" s="23"/>
      <c r="G134" s="113"/>
      <c r="H134" s="114"/>
      <c r="I134" s="224"/>
      <c r="J134" s="271"/>
      <c r="K134" s="23"/>
      <c r="L134" s="23"/>
      <c r="M134" s="23"/>
      <c r="N134" s="23"/>
      <c r="O134" s="23"/>
      <c r="P134" s="23"/>
      <c r="Q134" s="83"/>
      <c r="R134" s="1"/>
      <c r="S134" s="45"/>
      <c r="T134" s="176"/>
      <c r="U134" s="23"/>
      <c r="V134" s="23"/>
      <c r="W134" s="23"/>
      <c r="X134" s="23"/>
      <c r="Y134" s="176"/>
      <c r="Z134" s="8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</row>
    <row r="135" spans="1:120" ht="15" x14ac:dyDescent="0.25">
      <c r="A135" s="1"/>
      <c r="B135" s="1"/>
      <c r="C135" s="52"/>
      <c r="D135" s="86"/>
      <c r="E135" s="86"/>
      <c r="F135" s="23"/>
      <c r="G135" s="113"/>
      <c r="H135" s="114"/>
      <c r="I135" s="224"/>
      <c r="J135" s="271"/>
      <c r="K135" s="23"/>
      <c r="L135" s="23"/>
      <c r="M135" s="23"/>
      <c r="N135" s="23"/>
      <c r="O135" s="23"/>
      <c r="P135" s="23"/>
      <c r="Q135" s="83"/>
      <c r="R135" s="1"/>
      <c r="S135" s="45"/>
      <c r="T135" s="176"/>
      <c r="U135" s="23"/>
      <c r="V135" s="96" t="str">
        <f>Trade_MtM</f>
        <v>Trade MtM: 0</v>
      </c>
      <c r="W135" s="97"/>
      <c r="X135" s="23"/>
      <c r="Y135" s="176"/>
      <c r="Z135" s="8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</row>
    <row r="136" spans="1:120" ht="15" x14ac:dyDescent="0.25">
      <c r="A136" s="1"/>
      <c r="B136" s="1"/>
      <c r="C136" s="52"/>
      <c r="D136" s="86"/>
      <c r="E136" s="86"/>
      <c r="F136" s="23"/>
      <c r="G136" s="113"/>
      <c r="H136" s="114"/>
      <c r="I136" s="224"/>
      <c r="J136" s="271"/>
      <c r="K136" s="23"/>
      <c r="L136" s="23"/>
      <c r="M136" s="23"/>
      <c r="N136" s="23"/>
      <c r="O136" s="23"/>
      <c r="P136" s="23"/>
      <c r="Q136" s="83"/>
      <c r="R136" s="1"/>
      <c r="S136" s="45"/>
      <c r="T136" s="176"/>
      <c r="U136" s="23"/>
      <c r="V136" s="98" t="s">
        <v>2715</v>
      </c>
      <c r="W136" s="98"/>
      <c r="X136" s="23"/>
      <c r="Y136" s="176"/>
      <c r="Z136" s="8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</row>
    <row r="137" spans="1:120" ht="15.75" thickBot="1" x14ac:dyDescent="0.3">
      <c r="A137" s="1"/>
      <c r="B137" s="1"/>
      <c r="C137" s="52"/>
      <c r="D137" s="86"/>
      <c r="E137" s="86"/>
      <c r="F137" s="23"/>
      <c r="G137" s="113"/>
      <c r="H137" s="114"/>
      <c r="I137" s="224"/>
      <c r="J137" s="271"/>
      <c r="K137" s="23"/>
      <c r="L137" s="23"/>
      <c r="M137" s="23"/>
      <c r="N137" s="23"/>
      <c r="O137" s="23"/>
      <c r="P137" s="23"/>
      <c r="Q137" s="83"/>
      <c r="R137" s="1"/>
      <c r="S137" s="45"/>
      <c r="T137" s="176"/>
      <c r="U137" s="23"/>
      <c r="V137" s="99"/>
      <c r="W137" s="107" t="s">
        <v>2660</v>
      </c>
      <c r="X137" s="23"/>
      <c r="Y137" s="176"/>
      <c r="Z137" s="8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</row>
    <row r="138" spans="1:120" ht="15" x14ac:dyDescent="0.25">
      <c r="A138" s="1"/>
      <c r="B138" s="1"/>
      <c r="C138" s="52"/>
      <c r="D138" s="86"/>
      <c r="E138" s="86"/>
      <c r="F138" s="23"/>
      <c r="G138" s="113"/>
      <c r="H138" s="114"/>
      <c r="I138" s="224"/>
      <c r="J138" s="271"/>
      <c r="K138" s="23"/>
      <c r="L138" s="23"/>
      <c r="M138" s="23"/>
      <c r="N138" s="23"/>
      <c r="O138" s="23"/>
      <c r="P138" s="23"/>
      <c r="Q138" s="83"/>
      <c r="R138" s="1"/>
      <c r="S138" s="45"/>
      <c r="T138" s="176"/>
      <c r="U138" s="23"/>
      <c r="V138" s="103" t="s">
        <v>58</v>
      </c>
      <c r="W138" s="104">
        <f ca="1">W24</f>
        <v>21.076035393490514</v>
      </c>
      <c r="X138" s="23"/>
      <c r="Y138" s="176"/>
      <c r="Z138" s="8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</row>
    <row r="139" spans="1:120" ht="15" x14ac:dyDescent="0.25">
      <c r="A139" s="1"/>
      <c r="B139" s="1"/>
      <c r="C139" s="52"/>
      <c r="D139" s="86"/>
      <c r="E139" s="86"/>
      <c r="F139" s="23"/>
      <c r="G139" s="113"/>
      <c r="H139" s="114"/>
      <c r="I139" s="224"/>
      <c r="J139" s="271"/>
      <c r="K139" s="23"/>
      <c r="L139" s="23"/>
      <c r="M139" s="23"/>
      <c r="N139" s="23"/>
      <c r="O139" s="23"/>
      <c r="P139" s="23"/>
      <c r="Q139" s="83"/>
      <c r="R139" s="1"/>
      <c r="S139" s="45"/>
      <c r="T139" s="176"/>
      <c r="U139" s="23"/>
      <c r="V139" s="101" t="s">
        <v>63</v>
      </c>
      <c r="W139" s="102">
        <f ca="1">W25</f>
        <v>240.61647116561258</v>
      </c>
      <c r="X139" s="23"/>
      <c r="Y139" s="176"/>
      <c r="Z139" s="8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</row>
    <row r="140" spans="1:120" ht="15" x14ac:dyDescent="0.25">
      <c r="A140" s="1"/>
      <c r="B140" s="1"/>
      <c r="C140" s="52"/>
      <c r="D140" s="86"/>
      <c r="E140" s="86"/>
      <c r="F140" s="23"/>
      <c r="G140" s="113"/>
      <c r="H140" s="114"/>
      <c r="I140" s="224"/>
      <c r="J140" s="271"/>
      <c r="K140" s="23"/>
      <c r="L140" s="23"/>
      <c r="M140" s="23"/>
      <c r="N140" s="23"/>
      <c r="O140" s="23"/>
      <c r="P140" s="23"/>
      <c r="Q140" s="83"/>
      <c r="R140" s="1"/>
      <c r="S140" s="45"/>
      <c r="T140" s="176"/>
      <c r="U140" s="23"/>
      <c r="V140" s="103" t="s">
        <v>2692</v>
      </c>
      <c r="W140" s="104">
        <f>W26</f>
        <v>0</v>
      </c>
      <c r="X140" s="23"/>
      <c r="Y140" s="176"/>
      <c r="Z140" s="8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</row>
    <row r="141" spans="1:120" ht="15.75" thickBot="1" x14ac:dyDescent="0.3">
      <c r="A141" s="1"/>
      <c r="B141" s="1"/>
      <c r="C141" s="52"/>
      <c r="D141" s="86"/>
      <c r="E141" s="86"/>
      <c r="F141" s="23"/>
      <c r="G141" s="113"/>
      <c r="H141" s="114"/>
      <c r="I141" s="224"/>
      <c r="J141" s="271"/>
      <c r="K141" s="23"/>
      <c r="L141" s="23"/>
      <c r="M141" s="23"/>
      <c r="N141" s="23"/>
      <c r="O141" s="23"/>
      <c r="P141" s="23"/>
      <c r="Q141" s="83"/>
      <c r="R141" s="1"/>
      <c r="S141" s="45"/>
      <c r="T141" s="176"/>
      <c r="U141" s="23"/>
      <c r="V141" s="105" t="s">
        <v>2709</v>
      </c>
      <c r="W141" s="106">
        <f ca="1">W27+W28</f>
        <v>0.78431952897155499</v>
      </c>
      <c r="X141" s="23"/>
      <c r="Y141" s="176"/>
      <c r="Z141" s="8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</row>
    <row r="142" spans="1:120" ht="15" x14ac:dyDescent="0.25">
      <c r="A142" s="1"/>
      <c r="B142" s="1"/>
      <c r="C142" s="52"/>
      <c r="D142" s="86"/>
      <c r="E142" s="86"/>
      <c r="F142" s="23"/>
      <c r="G142" s="113"/>
      <c r="H142" s="114"/>
      <c r="I142" s="224"/>
      <c r="J142" s="271"/>
      <c r="K142" s="23"/>
      <c r="L142" s="23"/>
      <c r="M142" s="23"/>
      <c r="N142" s="23"/>
      <c r="O142" s="23"/>
      <c r="P142" s="23"/>
      <c r="Q142" s="83"/>
      <c r="R142" s="1"/>
      <c r="S142" s="45"/>
      <c r="T142" s="176"/>
      <c r="U142" s="23"/>
      <c r="V142" s="103" t="s">
        <v>64</v>
      </c>
      <c r="W142" s="104">
        <f ca="1">SUM(W138:W141)</f>
        <v>262.47682608807463</v>
      </c>
      <c r="X142" s="23"/>
      <c r="Y142" s="176"/>
      <c r="Z142" s="8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</row>
    <row r="143" spans="1:120" ht="15" x14ac:dyDescent="0.25">
      <c r="A143" s="1"/>
      <c r="B143" s="1"/>
      <c r="C143" s="52"/>
      <c r="D143" s="86"/>
      <c r="E143" s="86"/>
      <c r="F143" s="23"/>
      <c r="G143" s="113"/>
      <c r="H143" s="114"/>
      <c r="I143" s="224"/>
      <c r="J143" s="271"/>
      <c r="K143" s="23"/>
      <c r="L143" s="23"/>
      <c r="M143" s="23"/>
      <c r="N143" s="23"/>
      <c r="O143" s="23"/>
      <c r="P143" s="23"/>
      <c r="Q143" s="83"/>
      <c r="R143" s="1"/>
      <c r="S143" s="45"/>
      <c r="T143" s="176"/>
      <c r="U143" s="23"/>
      <c r="V143" s="103"/>
      <c r="W143" s="104"/>
      <c r="X143" s="23"/>
      <c r="Y143" s="176"/>
      <c r="Z143" s="8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</row>
    <row r="144" spans="1:120" ht="15.75" thickBot="1" x14ac:dyDescent="0.3">
      <c r="A144" s="1"/>
      <c r="B144" s="1"/>
      <c r="C144" s="52"/>
      <c r="D144" s="86"/>
      <c r="E144" s="86"/>
      <c r="F144" s="23"/>
      <c r="G144" s="113"/>
      <c r="H144" s="114"/>
      <c r="I144" s="224"/>
      <c r="J144" s="271"/>
      <c r="K144" s="23"/>
      <c r="L144" s="23"/>
      <c r="M144" s="23"/>
      <c r="N144" s="23"/>
      <c r="O144" s="23"/>
      <c r="P144" s="23"/>
      <c r="Q144" s="83"/>
      <c r="R144" s="1"/>
      <c r="S144" s="45"/>
      <c r="T144" s="176"/>
      <c r="U144" s="23"/>
      <c r="V144" s="99"/>
      <c r="W144" s="100"/>
      <c r="X144" s="23"/>
      <c r="Y144" s="176"/>
      <c r="Z144" s="8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</row>
    <row r="145" spans="1:120" ht="15" x14ac:dyDescent="0.25">
      <c r="A145" s="1"/>
      <c r="B145" s="1"/>
      <c r="C145" s="52"/>
      <c r="D145" s="86"/>
      <c r="E145" s="86"/>
      <c r="F145" s="23"/>
      <c r="G145" s="113"/>
      <c r="H145" s="114"/>
      <c r="I145" s="224"/>
      <c r="J145" s="271"/>
      <c r="K145" s="23"/>
      <c r="L145" s="23"/>
      <c r="M145" s="23"/>
      <c r="N145" s="23"/>
      <c r="O145" s="23"/>
      <c r="P145" s="23"/>
      <c r="Q145" s="83"/>
      <c r="R145" s="1"/>
      <c r="S145" s="45"/>
      <c r="T145" s="176"/>
      <c r="U145" s="23"/>
      <c r="V145" s="103" t="s">
        <v>2713</v>
      </c>
      <c r="W145" s="104">
        <f>W35</f>
        <v>0</v>
      </c>
      <c r="X145" s="23"/>
      <c r="Y145" s="176"/>
      <c r="Z145" s="8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</row>
    <row r="146" spans="1:120" ht="15" x14ac:dyDescent="0.25">
      <c r="A146" s="1"/>
      <c r="B146" s="1"/>
      <c r="C146" s="52"/>
      <c r="D146" s="86"/>
      <c r="E146" s="86"/>
      <c r="F146" s="23"/>
      <c r="G146" s="113"/>
      <c r="H146" s="114"/>
      <c r="I146" s="224"/>
      <c r="J146" s="271"/>
      <c r="K146" s="23"/>
      <c r="L146" s="23"/>
      <c r="M146" s="23"/>
      <c r="N146" s="23"/>
      <c r="O146" s="23"/>
      <c r="P146" s="23"/>
      <c r="Q146" s="83"/>
      <c r="R146" s="1"/>
      <c r="S146" s="45"/>
      <c r="T146" s="176"/>
      <c r="U146" s="23"/>
      <c r="V146" s="101" t="s">
        <v>2714</v>
      </c>
      <c r="W146" s="102">
        <f ca="1">W36</f>
        <v>1073323.7514531349</v>
      </c>
      <c r="X146" s="23"/>
      <c r="Y146" s="176"/>
      <c r="Z146" s="8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</row>
    <row r="147" spans="1:120" ht="15" x14ac:dyDescent="0.25">
      <c r="A147" s="1"/>
      <c r="B147" s="1"/>
      <c r="C147" s="52"/>
      <c r="D147" s="86"/>
      <c r="E147" s="86"/>
      <c r="F147" s="23"/>
      <c r="G147" s="113"/>
      <c r="H147" s="114"/>
      <c r="I147" s="224"/>
      <c r="J147" s="271"/>
      <c r="K147" s="23"/>
      <c r="L147" s="23"/>
      <c r="M147" s="23"/>
      <c r="N147" s="23"/>
      <c r="O147" s="23"/>
      <c r="P147" s="23"/>
      <c r="Q147" s="83"/>
      <c r="R147" s="1"/>
      <c r="S147" s="45"/>
      <c r="T147" s="176"/>
      <c r="U147" s="23"/>
      <c r="V147" s="103"/>
      <c r="W147" s="104"/>
      <c r="X147" s="23"/>
      <c r="Y147" s="176"/>
      <c r="Z147" s="8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</row>
    <row r="148" spans="1:120" ht="15" x14ac:dyDescent="0.25">
      <c r="A148" s="1"/>
      <c r="B148" s="1"/>
      <c r="C148" s="52"/>
      <c r="D148" s="86"/>
      <c r="E148" s="86"/>
      <c r="F148" s="23"/>
      <c r="G148" s="113"/>
      <c r="H148" s="114"/>
      <c r="I148" s="224"/>
      <c r="J148" s="271"/>
      <c r="K148" s="23"/>
      <c r="L148" s="23"/>
      <c r="M148" s="23"/>
      <c r="N148" s="23"/>
      <c r="O148" s="23"/>
      <c r="P148" s="23"/>
      <c r="Q148" s="83"/>
      <c r="R148" s="1"/>
      <c r="S148" s="45"/>
      <c r="T148" s="176"/>
      <c r="U148" s="23"/>
      <c r="V148" s="23"/>
      <c r="W148" s="23"/>
      <c r="X148" s="23"/>
      <c r="Y148" s="176"/>
      <c r="Z148" s="8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</row>
    <row r="149" spans="1:120" ht="15" x14ac:dyDescent="0.25">
      <c r="A149" s="1"/>
      <c r="B149" s="1"/>
      <c r="C149" s="52"/>
      <c r="D149" s="86"/>
      <c r="E149" s="86"/>
      <c r="F149" s="23"/>
      <c r="G149" s="113"/>
      <c r="H149" s="114"/>
      <c r="I149" s="224"/>
      <c r="J149" s="271"/>
      <c r="K149" s="23"/>
      <c r="L149" s="23"/>
      <c r="M149" s="23"/>
      <c r="N149" s="23"/>
      <c r="O149" s="23"/>
      <c r="P149" s="23"/>
      <c r="Q149" s="83"/>
      <c r="R149" s="1"/>
      <c r="S149" s="45"/>
      <c r="T149" s="176"/>
      <c r="U149" s="176"/>
      <c r="V149" s="176"/>
      <c r="W149" s="176"/>
      <c r="X149" s="176"/>
      <c r="Y149" s="176"/>
      <c r="Z149" s="8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</row>
    <row r="150" spans="1:120" ht="15" x14ac:dyDescent="0.25">
      <c r="A150" s="1"/>
      <c r="B150" s="1"/>
      <c r="C150" s="52"/>
      <c r="D150" s="86"/>
      <c r="E150" s="86"/>
      <c r="F150" s="23"/>
      <c r="G150" s="113"/>
      <c r="H150" s="114"/>
      <c r="I150" s="224"/>
      <c r="J150" s="271"/>
      <c r="K150" s="23"/>
      <c r="L150" s="23"/>
      <c r="M150" s="23"/>
      <c r="N150" s="23"/>
      <c r="O150" s="23"/>
      <c r="P150" s="23"/>
      <c r="Q150" s="83"/>
      <c r="R150" s="1"/>
      <c r="S150" s="45"/>
      <c r="T150" s="176"/>
      <c r="U150" s="176"/>
      <c r="V150" s="176"/>
      <c r="W150" s="176"/>
      <c r="X150" s="176"/>
      <c r="Y150" s="176"/>
      <c r="Z150" s="8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</row>
    <row r="151" spans="1:120" ht="15" x14ac:dyDescent="0.25">
      <c r="A151" s="1"/>
      <c r="B151" s="1"/>
      <c r="C151" s="52"/>
      <c r="D151" s="86"/>
      <c r="E151" s="86"/>
      <c r="F151" s="23"/>
      <c r="G151" s="113"/>
      <c r="H151" s="114"/>
      <c r="I151" s="224"/>
      <c r="J151" s="271"/>
      <c r="K151" s="23"/>
      <c r="L151" s="23"/>
      <c r="M151" s="23"/>
      <c r="N151" s="23"/>
      <c r="O151" s="23"/>
      <c r="P151" s="23"/>
      <c r="Q151" s="83"/>
      <c r="R151" s="1"/>
      <c r="S151" s="45"/>
      <c r="T151" s="23"/>
      <c r="U151" s="23"/>
      <c r="V151" s="23"/>
      <c r="W151" s="23"/>
      <c r="X151" s="23"/>
      <c r="Y151" s="23"/>
      <c r="Z151" s="8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</row>
    <row r="152" spans="1:120" ht="15" x14ac:dyDescent="0.25">
      <c r="A152" s="1"/>
      <c r="B152" s="1"/>
      <c r="C152" s="52"/>
      <c r="D152" s="86"/>
      <c r="E152" s="86"/>
      <c r="F152" s="23"/>
      <c r="G152" s="113"/>
      <c r="H152" s="114"/>
      <c r="I152" s="224"/>
      <c r="J152" s="271"/>
      <c r="K152" s="23"/>
      <c r="L152" s="23"/>
      <c r="M152" s="23"/>
      <c r="N152" s="23"/>
      <c r="O152" s="23"/>
      <c r="P152" s="23"/>
      <c r="Q152" s="83"/>
      <c r="R152" s="1"/>
      <c r="S152" s="46"/>
      <c r="T152" s="84"/>
      <c r="U152" s="84"/>
      <c r="V152" s="84"/>
      <c r="W152" s="84"/>
      <c r="X152" s="84"/>
      <c r="Y152" s="84"/>
      <c r="Z152" s="85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</row>
    <row r="153" spans="1:120" ht="15" x14ac:dyDescent="0.25">
      <c r="A153" s="1"/>
      <c r="B153" s="1"/>
      <c r="C153" s="52"/>
      <c r="D153" s="86"/>
      <c r="E153" s="86"/>
      <c r="F153" s="23"/>
      <c r="G153" s="113"/>
      <c r="H153" s="114"/>
      <c r="I153" s="224"/>
      <c r="J153" s="271"/>
      <c r="K153" s="23"/>
      <c r="L153" s="23"/>
      <c r="M153" s="23"/>
      <c r="N153" s="23"/>
      <c r="O153" s="23"/>
      <c r="P153" s="23"/>
      <c r="Q153" s="83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</row>
    <row r="154" spans="1:120" ht="15" x14ac:dyDescent="0.25">
      <c r="A154" s="1"/>
      <c r="B154" s="1"/>
      <c r="C154" s="52"/>
      <c r="D154" s="86"/>
      <c r="E154" s="86"/>
      <c r="F154" s="23"/>
      <c r="G154" s="113"/>
      <c r="H154" s="114"/>
      <c r="I154" s="224"/>
      <c r="J154" s="271"/>
      <c r="K154" s="23"/>
      <c r="L154" s="23"/>
      <c r="M154" s="23"/>
      <c r="N154" s="23"/>
      <c r="O154" s="23"/>
      <c r="P154" s="23"/>
      <c r="Q154" s="83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</row>
    <row r="155" spans="1:120" ht="15" x14ac:dyDescent="0.25">
      <c r="A155" s="1"/>
      <c r="B155" s="1"/>
      <c r="C155" s="52"/>
      <c r="D155" s="86"/>
      <c r="E155" s="86"/>
      <c r="F155" s="23"/>
      <c r="G155" s="113"/>
      <c r="H155" s="114"/>
      <c r="I155" s="224"/>
      <c r="J155" s="271"/>
      <c r="K155" s="23"/>
      <c r="L155" s="23"/>
      <c r="M155" s="23"/>
      <c r="N155" s="23"/>
      <c r="O155" s="23"/>
      <c r="P155" s="23"/>
      <c r="Q155" s="83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</row>
    <row r="156" spans="1:120" ht="15" x14ac:dyDescent="0.25">
      <c r="A156" s="1"/>
      <c r="B156" s="1"/>
      <c r="C156" s="52"/>
      <c r="D156" s="86"/>
      <c r="E156" s="86"/>
      <c r="F156" s="23"/>
      <c r="G156" s="113"/>
      <c r="H156" s="114"/>
      <c r="I156" s="224"/>
      <c r="J156" s="271"/>
      <c r="K156" s="23"/>
      <c r="L156" s="23"/>
      <c r="M156" s="23"/>
      <c r="N156" s="23"/>
      <c r="O156" s="23"/>
      <c r="P156" s="23"/>
      <c r="Q156" s="83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</row>
    <row r="157" spans="1:120" ht="15" x14ac:dyDescent="0.25">
      <c r="A157" s="1"/>
      <c r="B157" s="1"/>
      <c r="C157" s="52"/>
      <c r="D157" s="86"/>
      <c r="E157" s="86"/>
      <c r="F157" s="23"/>
      <c r="G157" s="113"/>
      <c r="H157" s="114"/>
      <c r="I157" s="224"/>
      <c r="J157" s="271"/>
      <c r="K157" s="23"/>
      <c r="L157" s="23"/>
      <c r="M157" s="23"/>
      <c r="N157" s="23"/>
      <c r="O157" s="23"/>
      <c r="P157" s="23"/>
      <c r="Q157" s="83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</row>
    <row r="158" spans="1:120" ht="15" x14ac:dyDescent="0.25">
      <c r="A158" s="1"/>
      <c r="B158" s="1"/>
      <c r="C158" s="52"/>
      <c r="D158" s="86"/>
      <c r="E158" s="86"/>
      <c r="F158" s="23"/>
      <c r="G158" s="113"/>
      <c r="H158" s="114"/>
      <c r="I158" s="224"/>
      <c r="J158" s="271"/>
      <c r="K158" s="23"/>
      <c r="L158" s="23"/>
      <c r="M158" s="23"/>
      <c r="N158" s="23"/>
      <c r="O158" s="23"/>
      <c r="P158" s="23"/>
      <c r="Q158" s="83"/>
      <c r="R158" s="1"/>
      <c r="S158" s="45"/>
      <c r="T158" s="23"/>
      <c r="U158" s="23"/>
      <c r="V158" s="23"/>
      <c r="W158" s="23"/>
      <c r="X158" s="23"/>
      <c r="Y158" s="23"/>
      <c r="Z158" s="8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</row>
    <row r="159" spans="1:120" ht="15" x14ac:dyDescent="0.25">
      <c r="A159" s="1"/>
      <c r="B159" s="1"/>
      <c r="C159" s="52"/>
      <c r="D159" s="86"/>
      <c r="E159" s="86"/>
      <c r="F159" s="23"/>
      <c r="G159" s="113"/>
      <c r="H159" s="114"/>
      <c r="I159" s="224"/>
      <c r="J159" s="271"/>
      <c r="K159" s="23"/>
      <c r="L159" s="23"/>
      <c r="M159" s="23"/>
      <c r="N159" s="23"/>
      <c r="O159" s="23"/>
      <c r="P159" s="23"/>
      <c r="Q159" s="83"/>
      <c r="R159" s="1"/>
      <c r="S159" s="45"/>
      <c r="T159" s="23"/>
      <c r="U159" s="23"/>
      <c r="V159" s="23"/>
      <c r="W159" s="23"/>
      <c r="X159" s="23"/>
      <c r="Y159" s="23"/>
      <c r="Z159" s="8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</row>
    <row r="160" spans="1:120" ht="15" x14ac:dyDescent="0.25">
      <c r="A160" s="1"/>
      <c r="B160" s="1"/>
      <c r="C160" s="52"/>
      <c r="D160" s="86"/>
      <c r="E160" s="86"/>
      <c r="F160" s="23"/>
      <c r="G160" s="113"/>
      <c r="H160" s="114"/>
      <c r="I160" s="224"/>
      <c r="J160" s="271"/>
      <c r="K160" s="23"/>
      <c r="L160" s="23"/>
      <c r="M160" s="23"/>
      <c r="N160" s="23"/>
      <c r="O160" s="23"/>
      <c r="P160" s="23"/>
      <c r="Q160" s="83"/>
      <c r="R160" s="1"/>
      <c r="S160" s="45"/>
      <c r="T160" s="23"/>
      <c r="U160" s="23"/>
      <c r="V160" s="23"/>
      <c r="W160" s="23"/>
      <c r="X160" s="23"/>
      <c r="Y160" s="23"/>
      <c r="Z160" s="8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</row>
    <row r="161" spans="1:120" ht="15" x14ac:dyDescent="0.25">
      <c r="A161" s="1"/>
      <c r="B161" s="1"/>
      <c r="C161" s="52"/>
      <c r="D161" s="86"/>
      <c r="E161" s="86"/>
      <c r="F161" s="23"/>
      <c r="G161" s="113"/>
      <c r="H161" s="114"/>
      <c r="I161" s="224"/>
      <c r="J161" s="271"/>
      <c r="K161" s="23"/>
      <c r="L161" s="23"/>
      <c r="M161" s="23"/>
      <c r="N161" s="23"/>
      <c r="O161" s="23"/>
      <c r="P161" s="23"/>
      <c r="Q161" s="83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</row>
    <row r="162" spans="1:120" ht="15" x14ac:dyDescent="0.25">
      <c r="A162" s="1"/>
      <c r="B162" s="1"/>
      <c r="C162" s="52"/>
      <c r="D162" s="86"/>
      <c r="E162" s="86"/>
      <c r="F162" s="23"/>
      <c r="G162" s="113"/>
      <c r="H162" s="114"/>
      <c r="I162" s="224"/>
      <c r="J162" s="271"/>
      <c r="K162" s="23"/>
      <c r="L162" s="23"/>
      <c r="M162" s="23"/>
      <c r="N162" s="23"/>
      <c r="O162" s="23"/>
      <c r="P162" s="23"/>
      <c r="Q162" s="83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</row>
    <row r="163" spans="1:120" ht="15" x14ac:dyDescent="0.25">
      <c r="A163" s="1"/>
      <c r="B163" s="1"/>
      <c r="C163" s="52"/>
      <c r="D163" s="86"/>
      <c r="E163" s="86"/>
      <c r="F163" s="23"/>
      <c r="G163" s="113"/>
      <c r="H163" s="114"/>
      <c r="I163" s="224"/>
      <c r="J163" s="271"/>
      <c r="K163" s="23"/>
      <c r="L163" s="23"/>
      <c r="M163" s="23"/>
      <c r="N163" s="23"/>
      <c r="O163" s="23"/>
      <c r="P163" s="23"/>
      <c r="Q163" s="83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</row>
    <row r="164" spans="1:120" ht="15" x14ac:dyDescent="0.25">
      <c r="A164" s="1"/>
      <c r="B164" s="1"/>
      <c r="C164" s="52"/>
      <c r="D164" s="86"/>
      <c r="E164" s="86"/>
      <c r="F164" s="23"/>
      <c r="G164" s="113"/>
      <c r="H164" s="114"/>
      <c r="I164" s="224"/>
      <c r="J164" s="271"/>
      <c r="K164" s="23"/>
      <c r="L164" s="23"/>
      <c r="M164" s="23"/>
      <c r="N164" s="23"/>
      <c r="O164" s="23"/>
      <c r="P164" s="23"/>
      <c r="Q164" s="83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</row>
    <row r="165" spans="1:120" ht="15" x14ac:dyDescent="0.25">
      <c r="A165" s="1"/>
      <c r="B165" s="1"/>
      <c r="C165" s="52"/>
      <c r="D165" s="86"/>
      <c r="E165" s="86"/>
      <c r="F165" s="23"/>
      <c r="G165" s="113"/>
      <c r="H165" s="114"/>
      <c r="I165" s="224"/>
      <c r="J165" s="271"/>
      <c r="K165" s="23"/>
      <c r="L165" s="23"/>
      <c r="M165" s="23"/>
      <c r="N165" s="23"/>
      <c r="O165" s="23"/>
      <c r="P165" s="23"/>
      <c r="Q165" s="83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</row>
    <row r="166" spans="1:120" ht="15" x14ac:dyDescent="0.25">
      <c r="A166" s="1"/>
      <c r="B166" s="1"/>
      <c r="C166" s="52"/>
      <c r="D166" s="86"/>
      <c r="E166" s="86"/>
      <c r="F166" s="23"/>
      <c r="G166" s="113"/>
      <c r="H166" s="114"/>
      <c r="I166" s="224"/>
      <c r="J166" s="271"/>
      <c r="K166" s="23"/>
      <c r="L166" s="23"/>
      <c r="M166" s="23"/>
      <c r="N166" s="23"/>
      <c r="O166" s="23"/>
      <c r="P166" s="23"/>
      <c r="Q166" s="83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</row>
    <row r="167" spans="1:120" ht="15" x14ac:dyDescent="0.25">
      <c r="A167" s="1"/>
      <c r="B167" s="1"/>
      <c r="C167" s="52"/>
      <c r="D167" s="86"/>
      <c r="E167" s="86"/>
      <c r="F167" s="23"/>
      <c r="G167" s="113"/>
      <c r="H167" s="114"/>
      <c r="I167" s="224"/>
      <c r="J167" s="271"/>
      <c r="K167" s="23"/>
      <c r="L167" s="23"/>
      <c r="M167" s="23"/>
      <c r="N167" s="23"/>
      <c r="O167" s="23"/>
      <c r="P167" s="23"/>
      <c r="Q167" s="83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</row>
    <row r="168" spans="1:120" ht="15" x14ac:dyDescent="0.25">
      <c r="A168" s="1"/>
      <c r="B168" s="1"/>
      <c r="C168" s="52"/>
      <c r="D168" s="86"/>
      <c r="E168" s="86"/>
      <c r="F168" s="23"/>
      <c r="G168" s="113"/>
      <c r="H168" s="114"/>
      <c r="I168" s="224"/>
      <c r="J168" s="271"/>
      <c r="K168" s="23"/>
      <c r="L168" s="23"/>
      <c r="M168" s="23"/>
      <c r="N168" s="23"/>
      <c r="O168" s="23"/>
      <c r="P168" s="23"/>
      <c r="Q168" s="83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</row>
    <row r="169" spans="1:120" ht="15" x14ac:dyDescent="0.25">
      <c r="A169" s="1"/>
      <c r="B169" s="1"/>
      <c r="C169" s="52"/>
      <c r="D169" s="86"/>
      <c r="E169" s="86"/>
      <c r="F169" s="23"/>
      <c r="G169" s="113"/>
      <c r="H169" s="114"/>
      <c r="I169" s="224"/>
      <c r="J169" s="271"/>
      <c r="K169" s="23"/>
      <c r="L169" s="23"/>
      <c r="M169" s="23"/>
      <c r="N169" s="23"/>
      <c r="O169" s="23"/>
      <c r="P169" s="23"/>
      <c r="Q169" s="83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</row>
    <row r="170" spans="1:120" ht="15" x14ac:dyDescent="0.25">
      <c r="A170" s="1"/>
      <c r="B170" s="1"/>
      <c r="C170" s="52"/>
      <c r="D170" s="86"/>
      <c r="E170" s="86"/>
      <c r="F170" s="23"/>
      <c r="G170" s="113"/>
      <c r="H170" s="114"/>
      <c r="I170" s="224"/>
      <c r="J170" s="271"/>
      <c r="K170" s="23"/>
      <c r="L170" s="23"/>
      <c r="M170" s="23"/>
      <c r="N170" s="23"/>
      <c r="O170" s="23"/>
      <c r="P170" s="23"/>
      <c r="Q170" s="83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</row>
    <row r="171" spans="1:120" ht="15" x14ac:dyDescent="0.25">
      <c r="A171" s="1"/>
      <c r="B171" s="1"/>
      <c r="C171" s="52"/>
      <c r="D171" s="86"/>
      <c r="E171" s="86"/>
      <c r="F171" s="23"/>
      <c r="G171" s="113"/>
      <c r="H171" s="114"/>
      <c r="I171" s="224"/>
      <c r="J171" s="271"/>
      <c r="K171" s="23"/>
      <c r="L171" s="23"/>
      <c r="M171" s="23"/>
      <c r="N171" s="23"/>
      <c r="O171" s="23"/>
      <c r="P171" s="23"/>
      <c r="Q171" s="83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</row>
    <row r="172" spans="1:120" ht="15" x14ac:dyDescent="0.25">
      <c r="A172" s="1"/>
      <c r="B172" s="1"/>
      <c r="C172" s="52"/>
      <c r="D172" s="86"/>
      <c r="E172" s="86"/>
      <c r="F172" s="23"/>
      <c r="G172" s="113"/>
      <c r="H172" s="114"/>
      <c r="I172" s="224"/>
      <c r="J172" s="271"/>
      <c r="K172" s="23"/>
      <c r="L172" s="23"/>
      <c r="M172" s="23"/>
      <c r="N172" s="23"/>
      <c r="O172" s="23"/>
      <c r="P172" s="23"/>
      <c r="Q172" s="83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</row>
    <row r="173" spans="1:120" ht="15" x14ac:dyDescent="0.25">
      <c r="A173" s="1"/>
      <c r="B173" s="1"/>
      <c r="C173" s="52"/>
      <c r="D173" s="86"/>
      <c r="E173" s="86"/>
      <c r="F173" s="23"/>
      <c r="G173" s="113"/>
      <c r="H173" s="114"/>
      <c r="I173" s="224"/>
      <c r="J173" s="271"/>
      <c r="K173" s="23"/>
      <c r="L173" s="23"/>
      <c r="M173" s="23"/>
      <c r="N173" s="23"/>
      <c r="O173" s="23"/>
      <c r="P173" s="23"/>
      <c r="Q173" s="83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</row>
    <row r="174" spans="1:120" ht="15" x14ac:dyDescent="0.25">
      <c r="A174" s="1"/>
      <c r="B174" s="1"/>
      <c r="C174" s="52"/>
      <c r="D174" s="86"/>
      <c r="E174" s="86"/>
      <c r="F174" s="23"/>
      <c r="G174" s="113"/>
      <c r="H174" s="114"/>
      <c r="I174" s="224"/>
      <c r="J174" s="271"/>
      <c r="K174" s="23"/>
      <c r="L174" s="23"/>
      <c r="M174" s="23"/>
      <c r="N174" s="23"/>
      <c r="O174" s="23"/>
      <c r="P174" s="23"/>
      <c r="Q174" s="83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</row>
    <row r="175" spans="1:120" ht="15" x14ac:dyDescent="0.25">
      <c r="A175" s="1"/>
      <c r="B175" s="1"/>
      <c r="C175" s="52"/>
      <c r="D175" s="86"/>
      <c r="E175" s="86"/>
      <c r="F175" s="23"/>
      <c r="G175" s="113"/>
      <c r="H175" s="114"/>
      <c r="I175" s="224"/>
      <c r="J175" s="271"/>
      <c r="K175" s="23"/>
      <c r="L175" s="23"/>
      <c r="M175" s="23"/>
      <c r="N175" s="23"/>
      <c r="O175" s="23"/>
      <c r="P175" s="23"/>
      <c r="Q175" s="83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</row>
    <row r="176" spans="1:120" ht="15" x14ac:dyDescent="0.25">
      <c r="A176" s="1"/>
      <c r="B176" s="1"/>
      <c r="C176" s="52"/>
      <c r="D176" s="86"/>
      <c r="E176" s="86"/>
      <c r="F176" s="23"/>
      <c r="G176" s="113"/>
      <c r="H176" s="114"/>
      <c r="I176" s="224"/>
      <c r="J176" s="271"/>
      <c r="K176" s="23"/>
      <c r="L176" s="23"/>
      <c r="M176" s="23"/>
      <c r="N176" s="23"/>
      <c r="O176" s="23"/>
      <c r="P176" s="23"/>
      <c r="Q176" s="83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</row>
    <row r="177" spans="1:120" ht="15" x14ac:dyDescent="0.25">
      <c r="A177" s="1"/>
      <c r="B177" s="1"/>
      <c r="C177" s="52"/>
      <c r="D177" s="86"/>
      <c r="E177" s="86"/>
      <c r="F177" s="23"/>
      <c r="G177" s="113"/>
      <c r="H177" s="114"/>
      <c r="I177" s="224"/>
      <c r="J177" s="271"/>
      <c r="K177" s="23"/>
      <c r="L177" s="23"/>
      <c r="M177" s="23"/>
      <c r="N177" s="23"/>
      <c r="O177" s="23"/>
      <c r="P177" s="23"/>
      <c r="Q177" s="83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</row>
    <row r="178" spans="1:120" ht="15" x14ac:dyDescent="0.25">
      <c r="A178" s="1"/>
      <c r="B178" s="1"/>
      <c r="C178" s="52"/>
      <c r="D178" s="86"/>
      <c r="E178" s="86"/>
      <c r="F178" s="23"/>
      <c r="G178" s="113"/>
      <c r="H178" s="114"/>
      <c r="I178" s="224"/>
      <c r="J178" s="271"/>
      <c r="K178" s="23"/>
      <c r="L178" s="23"/>
      <c r="M178" s="23"/>
      <c r="N178" s="23"/>
      <c r="O178" s="23"/>
      <c r="P178" s="23"/>
      <c r="Q178" s="83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</row>
    <row r="179" spans="1:120" ht="15" x14ac:dyDescent="0.25">
      <c r="A179" s="1"/>
      <c r="B179" s="1"/>
      <c r="C179" s="52"/>
      <c r="D179" s="86"/>
      <c r="E179" s="86"/>
      <c r="F179" s="23"/>
      <c r="G179" s="113"/>
      <c r="H179" s="114"/>
      <c r="I179" s="224"/>
      <c r="J179" s="271"/>
      <c r="K179" s="23"/>
      <c r="L179" s="23"/>
      <c r="M179" s="23"/>
      <c r="N179" s="23"/>
      <c r="O179" s="23"/>
      <c r="P179" s="23"/>
      <c r="Q179" s="83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</row>
    <row r="180" spans="1:120" ht="15" x14ac:dyDescent="0.25">
      <c r="A180" s="1"/>
      <c r="B180" s="1"/>
      <c r="C180" s="52"/>
      <c r="D180" s="86"/>
      <c r="E180" s="86"/>
      <c r="F180" s="23"/>
      <c r="G180" s="113"/>
      <c r="H180" s="114"/>
      <c r="I180" s="224"/>
      <c r="J180" s="271"/>
      <c r="K180" s="23"/>
      <c r="L180" s="23"/>
      <c r="M180" s="23"/>
      <c r="N180" s="23"/>
      <c r="O180" s="23"/>
      <c r="P180" s="23"/>
      <c r="Q180" s="83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</row>
    <row r="181" spans="1:120" ht="15" x14ac:dyDescent="0.25">
      <c r="A181" s="1"/>
      <c r="B181" s="1"/>
      <c r="C181" s="52"/>
      <c r="D181" s="86"/>
      <c r="E181" s="86"/>
      <c r="F181" s="23"/>
      <c r="G181" s="113"/>
      <c r="H181" s="114"/>
      <c r="I181" s="224"/>
      <c r="J181" s="271"/>
      <c r="K181" s="23"/>
      <c r="L181" s="23"/>
      <c r="M181" s="23"/>
      <c r="N181" s="23"/>
      <c r="O181" s="23"/>
      <c r="P181" s="23"/>
      <c r="Q181" s="83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</row>
    <row r="182" spans="1:120" ht="15" x14ac:dyDescent="0.25">
      <c r="A182" s="1"/>
      <c r="B182" s="1"/>
      <c r="C182" s="52"/>
      <c r="D182" s="86"/>
      <c r="E182" s="86"/>
      <c r="F182" s="23"/>
      <c r="G182" s="113"/>
      <c r="H182" s="114"/>
      <c r="I182" s="224"/>
      <c r="J182" s="271"/>
      <c r="K182" s="23"/>
      <c r="L182" s="23"/>
      <c r="M182" s="23"/>
      <c r="N182" s="23"/>
      <c r="O182" s="23"/>
      <c r="P182" s="23"/>
      <c r="Q182" s="83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</row>
    <row r="183" spans="1:120" ht="15" x14ac:dyDescent="0.25">
      <c r="A183" s="1"/>
      <c r="B183" s="1"/>
      <c r="C183" s="52"/>
      <c r="D183" s="86"/>
      <c r="E183" s="86"/>
      <c r="F183" s="23"/>
      <c r="G183" s="113"/>
      <c r="H183" s="114"/>
      <c r="I183" s="224"/>
      <c r="J183" s="271"/>
      <c r="K183" s="23"/>
      <c r="L183" s="23"/>
      <c r="M183" s="23"/>
      <c r="N183" s="23"/>
      <c r="O183" s="23"/>
      <c r="P183" s="23"/>
      <c r="Q183" s="83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</row>
    <row r="184" spans="1:120" ht="15" x14ac:dyDescent="0.25">
      <c r="A184" s="1"/>
      <c r="B184" s="1"/>
      <c r="C184" s="52"/>
      <c r="D184" s="86"/>
      <c r="E184" s="86"/>
      <c r="F184" s="23"/>
      <c r="G184" s="113"/>
      <c r="H184" s="114"/>
      <c r="I184" s="224"/>
      <c r="J184" s="271"/>
      <c r="K184" s="23"/>
      <c r="L184" s="23"/>
      <c r="M184" s="23"/>
      <c r="N184" s="23"/>
      <c r="O184" s="23"/>
      <c r="P184" s="23"/>
      <c r="Q184" s="83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</row>
    <row r="185" spans="1:120" ht="15" x14ac:dyDescent="0.25">
      <c r="A185" s="1"/>
      <c r="B185" s="1"/>
      <c r="C185" s="52"/>
      <c r="D185" s="86"/>
      <c r="E185" s="86"/>
      <c r="F185" s="23"/>
      <c r="G185" s="113"/>
      <c r="H185" s="114"/>
      <c r="I185" s="224"/>
      <c r="J185" s="271"/>
      <c r="K185" s="23"/>
      <c r="L185" s="23"/>
      <c r="M185" s="23"/>
      <c r="N185" s="23"/>
      <c r="O185" s="23"/>
      <c r="P185" s="23"/>
      <c r="Q185" s="83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</row>
    <row r="186" spans="1:120" ht="15" x14ac:dyDescent="0.25">
      <c r="A186" s="1"/>
      <c r="B186" s="1"/>
      <c r="C186" s="52"/>
      <c r="D186" s="86"/>
      <c r="E186" s="86"/>
      <c r="F186" s="23"/>
      <c r="G186" s="113"/>
      <c r="H186" s="114"/>
      <c r="I186" s="224"/>
      <c r="J186" s="271"/>
      <c r="K186" s="23"/>
      <c r="L186" s="23"/>
      <c r="M186" s="23"/>
      <c r="N186" s="23"/>
      <c r="O186" s="23"/>
      <c r="P186" s="23"/>
      <c r="Q186" s="83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</row>
    <row r="187" spans="1:120" ht="15" x14ac:dyDescent="0.25">
      <c r="A187" s="1"/>
      <c r="B187" s="1"/>
      <c r="C187" s="52"/>
      <c r="D187" s="86"/>
      <c r="E187" s="86"/>
      <c r="F187" s="23"/>
      <c r="G187" s="113"/>
      <c r="H187" s="114"/>
      <c r="I187" s="224"/>
      <c r="J187" s="271"/>
      <c r="K187" s="23"/>
      <c r="L187" s="23"/>
      <c r="M187" s="23"/>
      <c r="N187" s="23"/>
      <c r="O187" s="23"/>
      <c r="P187" s="23"/>
      <c r="Q187" s="83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</row>
    <row r="188" spans="1:120" ht="15" x14ac:dyDescent="0.25">
      <c r="A188" s="1"/>
      <c r="B188" s="1"/>
      <c r="C188" s="52"/>
      <c r="D188" s="86"/>
      <c r="E188" s="86"/>
      <c r="F188" s="23"/>
      <c r="G188" s="113"/>
      <c r="H188" s="114"/>
      <c r="I188" s="224"/>
      <c r="J188" s="271"/>
      <c r="K188" s="23"/>
      <c r="L188" s="23"/>
      <c r="M188" s="23"/>
      <c r="N188" s="23"/>
      <c r="O188" s="23"/>
      <c r="P188" s="23"/>
      <c r="Q188" s="83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</row>
    <row r="189" spans="1:120" ht="15" x14ac:dyDescent="0.25">
      <c r="A189" s="1"/>
      <c r="B189" s="1"/>
      <c r="C189" s="52"/>
      <c r="D189" s="86"/>
      <c r="E189" s="86"/>
      <c r="F189" s="23"/>
      <c r="G189" s="113"/>
      <c r="H189" s="114"/>
      <c r="I189" s="224"/>
      <c r="J189" s="271"/>
      <c r="K189" s="23"/>
      <c r="L189" s="23"/>
      <c r="M189" s="23"/>
      <c r="N189" s="23"/>
      <c r="O189" s="23"/>
      <c r="P189" s="23"/>
      <c r="Q189" s="83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</row>
    <row r="190" spans="1:120" ht="15" x14ac:dyDescent="0.25">
      <c r="A190" s="1"/>
      <c r="B190" s="1"/>
      <c r="C190" s="52"/>
      <c r="D190" s="86"/>
      <c r="E190" s="86"/>
      <c r="F190" s="23"/>
      <c r="G190" s="113"/>
      <c r="H190" s="114"/>
      <c r="I190" s="224"/>
      <c r="J190" s="271"/>
      <c r="K190" s="23"/>
      <c r="L190" s="23"/>
      <c r="M190" s="23"/>
      <c r="N190" s="23"/>
      <c r="O190" s="23"/>
      <c r="P190" s="23"/>
      <c r="Q190" s="83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</row>
    <row r="191" spans="1:120" ht="15" x14ac:dyDescent="0.25">
      <c r="A191" s="1"/>
      <c r="B191" s="1"/>
      <c r="C191" s="52"/>
      <c r="D191" s="86"/>
      <c r="E191" s="86"/>
      <c r="F191" s="23"/>
      <c r="G191" s="113"/>
      <c r="H191" s="114"/>
      <c r="I191" s="224"/>
      <c r="J191" s="271"/>
      <c r="K191" s="23"/>
      <c r="L191" s="23"/>
      <c r="M191" s="23"/>
      <c r="N191" s="23"/>
      <c r="O191" s="23"/>
      <c r="P191" s="23"/>
      <c r="Q191" s="83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</row>
    <row r="192" spans="1:120" ht="15" x14ac:dyDescent="0.25">
      <c r="A192" s="1"/>
      <c r="B192" s="1"/>
      <c r="C192" s="52"/>
      <c r="D192" s="86"/>
      <c r="E192" s="86"/>
      <c r="F192" s="23"/>
      <c r="G192" s="113"/>
      <c r="H192" s="114"/>
      <c r="I192" s="224"/>
      <c r="J192" s="271"/>
      <c r="K192" s="23"/>
      <c r="L192" s="23"/>
      <c r="M192" s="23"/>
      <c r="N192" s="23"/>
      <c r="O192" s="23"/>
      <c r="P192" s="23"/>
      <c r="Q192" s="83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</row>
    <row r="193" spans="1:120" ht="15" x14ac:dyDescent="0.25">
      <c r="A193" s="1"/>
      <c r="B193" s="1"/>
      <c r="C193" s="52"/>
      <c r="D193" s="86"/>
      <c r="E193" s="86"/>
      <c r="F193" s="23"/>
      <c r="G193" s="113"/>
      <c r="H193" s="114"/>
      <c r="I193" s="224"/>
      <c r="J193" s="271"/>
      <c r="K193" s="23"/>
      <c r="L193" s="23"/>
      <c r="M193" s="23"/>
      <c r="N193" s="23"/>
      <c r="O193" s="23"/>
      <c r="P193" s="23"/>
      <c r="Q193" s="83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</row>
    <row r="194" spans="1:120" ht="15" x14ac:dyDescent="0.25">
      <c r="A194" s="1"/>
      <c r="B194" s="1"/>
      <c r="C194" s="52"/>
      <c r="D194" s="86"/>
      <c r="E194" s="86"/>
      <c r="F194" s="23"/>
      <c r="G194" s="113"/>
      <c r="H194" s="114"/>
      <c r="I194" s="224"/>
      <c r="J194" s="271"/>
      <c r="K194" s="23"/>
      <c r="L194" s="23"/>
      <c r="M194" s="23"/>
      <c r="N194" s="23"/>
      <c r="O194" s="23"/>
      <c r="P194" s="23"/>
      <c r="Q194" s="83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</row>
    <row r="195" spans="1:120" ht="15" x14ac:dyDescent="0.25">
      <c r="A195" s="1"/>
      <c r="B195" s="1"/>
      <c r="C195" s="52"/>
      <c r="D195" s="86"/>
      <c r="E195" s="86"/>
      <c r="F195" s="23"/>
      <c r="G195" s="113"/>
      <c r="H195" s="114"/>
      <c r="I195" s="224"/>
      <c r="J195" s="271"/>
      <c r="K195" s="23"/>
      <c r="L195" s="23"/>
      <c r="M195" s="23"/>
      <c r="N195" s="23"/>
      <c r="O195" s="23"/>
      <c r="P195" s="23"/>
      <c r="Q195" s="83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</row>
    <row r="196" spans="1:120" ht="15" x14ac:dyDescent="0.25">
      <c r="A196" s="1"/>
      <c r="B196" s="1"/>
      <c r="C196" s="52"/>
      <c r="D196" s="86"/>
      <c r="E196" s="86"/>
      <c r="F196" s="23"/>
      <c r="G196" s="113"/>
      <c r="H196" s="114"/>
      <c r="I196" s="224"/>
      <c r="J196" s="271"/>
      <c r="K196" s="23"/>
      <c r="L196" s="23"/>
      <c r="M196" s="23"/>
      <c r="N196" s="23"/>
      <c r="O196" s="23"/>
      <c r="P196" s="23"/>
      <c r="Q196" s="83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</row>
    <row r="197" spans="1:120" ht="15" x14ac:dyDescent="0.25">
      <c r="A197" s="1"/>
      <c r="B197" s="1"/>
      <c r="C197" s="52"/>
      <c r="D197" s="86"/>
      <c r="E197" s="86"/>
      <c r="F197" s="23"/>
      <c r="G197" s="113"/>
      <c r="H197" s="114"/>
      <c r="I197" s="224"/>
      <c r="J197" s="271"/>
      <c r="K197" s="23"/>
      <c r="L197" s="23"/>
      <c r="M197" s="23"/>
      <c r="N197" s="23"/>
      <c r="O197" s="23"/>
      <c r="P197" s="23"/>
      <c r="Q197" s="83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</row>
    <row r="198" spans="1:120" ht="15" x14ac:dyDescent="0.25">
      <c r="A198" s="1"/>
      <c r="B198" s="1"/>
      <c r="C198" s="52"/>
      <c r="D198" s="86"/>
      <c r="E198" s="86"/>
      <c r="F198" s="23"/>
      <c r="G198" s="113"/>
      <c r="H198" s="114"/>
      <c r="I198" s="224"/>
      <c r="J198" s="271"/>
      <c r="K198" s="23"/>
      <c r="L198" s="23"/>
      <c r="M198" s="23"/>
      <c r="N198" s="23"/>
      <c r="O198" s="23"/>
      <c r="P198" s="23"/>
      <c r="Q198" s="83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</row>
    <row r="199" spans="1:120" ht="15" x14ac:dyDescent="0.25">
      <c r="A199" s="1"/>
      <c r="B199" s="1"/>
      <c r="C199" s="52"/>
      <c r="D199" s="86"/>
      <c r="E199" s="86"/>
      <c r="F199" s="23"/>
      <c r="G199" s="113"/>
      <c r="H199" s="114"/>
      <c r="I199" s="224"/>
      <c r="J199" s="271"/>
      <c r="K199" s="23"/>
      <c r="L199" s="23"/>
      <c r="M199" s="23"/>
      <c r="N199" s="23"/>
      <c r="O199" s="23"/>
      <c r="P199" s="23"/>
      <c r="Q199" s="83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</row>
    <row r="200" spans="1:120" ht="15" x14ac:dyDescent="0.25">
      <c r="A200" s="1"/>
      <c r="B200" s="1"/>
      <c r="C200" s="52"/>
      <c r="D200" s="86"/>
      <c r="E200" s="86"/>
      <c r="F200" s="23"/>
      <c r="G200" s="113"/>
      <c r="H200" s="114"/>
      <c r="I200" s="224"/>
      <c r="J200" s="271"/>
      <c r="K200" s="23"/>
      <c r="L200" s="23"/>
      <c r="M200" s="23"/>
      <c r="N200" s="23"/>
      <c r="O200" s="23"/>
      <c r="P200" s="23"/>
      <c r="Q200" s="83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</row>
    <row r="201" spans="1:120" ht="15" x14ac:dyDescent="0.25">
      <c r="A201" s="1"/>
      <c r="B201" s="1"/>
      <c r="C201" s="52"/>
      <c r="D201" s="86"/>
      <c r="E201" s="86"/>
      <c r="F201" s="23"/>
      <c r="G201" s="113"/>
      <c r="H201" s="114"/>
      <c r="I201" s="224"/>
      <c r="J201" s="271"/>
      <c r="K201" s="23"/>
      <c r="L201" s="23"/>
      <c r="M201" s="23"/>
      <c r="N201" s="23"/>
      <c r="O201" s="23"/>
      <c r="P201" s="23"/>
      <c r="Q201" s="83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</row>
    <row r="202" spans="1:120" ht="15" x14ac:dyDescent="0.25">
      <c r="A202" s="1"/>
      <c r="B202" s="1"/>
      <c r="C202" s="52"/>
      <c r="D202" s="86"/>
      <c r="E202" s="86"/>
      <c r="F202" s="23"/>
      <c r="G202" s="113"/>
      <c r="H202" s="114"/>
      <c r="I202" s="224"/>
      <c r="J202" s="271"/>
      <c r="K202" s="23"/>
      <c r="L202" s="23"/>
      <c r="M202" s="23"/>
      <c r="N202" s="23"/>
      <c r="O202" s="23"/>
      <c r="P202" s="23"/>
      <c r="Q202" s="83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</row>
    <row r="203" spans="1:120" ht="15" x14ac:dyDescent="0.25">
      <c r="A203" s="1"/>
      <c r="B203" s="1"/>
      <c r="C203" s="52"/>
      <c r="D203" s="86"/>
      <c r="E203" s="86"/>
      <c r="F203" s="23"/>
      <c r="G203" s="113"/>
      <c r="H203" s="114"/>
      <c r="I203" s="224"/>
      <c r="J203" s="271"/>
      <c r="K203" s="23"/>
      <c r="L203" s="23"/>
      <c r="M203" s="23"/>
      <c r="N203" s="23"/>
      <c r="O203" s="23"/>
      <c r="P203" s="23"/>
      <c r="Q203" s="83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</row>
    <row r="204" spans="1:120" ht="15" x14ac:dyDescent="0.25">
      <c r="A204" s="1"/>
      <c r="B204" s="1"/>
      <c r="C204" s="52"/>
      <c r="D204" s="86"/>
      <c r="E204" s="86"/>
      <c r="F204" s="23"/>
      <c r="G204" s="113"/>
      <c r="H204" s="114"/>
      <c r="I204" s="224"/>
      <c r="J204" s="271"/>
      <c r="K204" s="23"/>
      <c r="L204" s="23"/>
      <c r="M204" s="23"/>
      <c r="N204" s="23"/>
      <c r="O204" s="23"/>
      <c r="P204" s="23"/>
      <c r="Q204" s="83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</row>
    <row r="205" spans="1:120" ht="15" x14ac:dyDescent="0.25">
      <c r="A205" s="1"/>
      <c r="B205" s="1"/>
      <c r="C205" s="52"/>
      <c r="D205" s="86"/>
      <c r="E205" s="86"/>
      <c r="F205" s="23"/>
      <c r="G205" s="113"/>
      <c r="H205" s="114"/>
      <c r="I205" s="224"/>
      <c r="J205" s="271"/>
      <c r="K205" s="23"/>
      <c r="L205" s="23"/>
      <c r="M205" s="23"/>
      <c r="N205" s="23"/>
      <c r="O205" s="23"/>
      <c r="P205" s="23"/>
      <c r="Q205" s="83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</row>
    <row r="206" spans="1:120" ht="15" x14ac:dyDescent="0.25">
      <c r="A206" s="1"/>
      <c r="B206" s="1"/>
      <c r="C206" s="52"/>
      <c r="D206" s="86"/>
      <c r="E206" s="86"/>
      <c r="F206" s="23"/>
      <c r="G206" s="113"/>
      <c r="H206" s="114"/>
      <c r="I206" s="224"/>
      <c r="J206" s="271"/>
      <c r="K206" s="23"/>
      <c r="L206" s="23"/>
      <c r="M206" s="23"/>
      <c r="N206" s="23"/>
      <c r="O206" s="23"/>
      <c r="P206" s="23"/>
      <c r="Q206" s="83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</row>
    <row r="207" spans="1:120" ht="15" x14ac:dyDescent="0.25">
      <c r="A207" s="1"/>
      <c r="B207" s="1"/>
      <c r="C207" s="52"/>
      <c r="D207" s="86"/>
      <c r="E207" s="86"/>
      <c r="F207" s="23"/>
      <c r="G207" s="113"/>
      <c r="H207" s="114"/>
      <c r="I207" s="224"/>
      <c r="J207" s="271"/>
      <c r="K207" s="23"/>
      <c r="L207" s="23"/>
      <c r="M207" s="23"/>
      <c r="N207" s="23"/>
      <c r="O207" s="23"/>
      <c r="P207" s="23"/>
      <c r="Q207" s="83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</row>
    <row r="208" spans="1:120" ht="15" x14ac:dyDescent="0.25">
      <c r="A208" s="1"/>
      <c r="B208" s="1"/>
      <c r="C208" s="52"/>
      <c r="D208" s="86"/>
      <c r="E208" s="86"/>
      <c r="F208" s="23"/>
      <c r="G208" s="113"/>
      <c r="H208" s="114"/>
      <c r="I208" s="224"/>
      <c r="J208" s="271"/>
      <c r="K208" s="23"/>
      <c r="L208" s="23"/>
      <c r="M208" s="23"/>
      <c r="N208" s="23"/>
      <c r="O208" s="23"/>
      <c r="P208" s="23"/>
      <c r="Q208" s="83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</row>
    <row r="209" spans="1:120" ht="15" x14ac:dyDescent="0.25">
      <c r="A209" s="1"/>
      <c r="B209" s="1"/>
      <c r="C209" s="52"/>
      <c r="D209" s="86"/>
      <c r="E209" s="86"/>
      <c r="F209" s="23"/>
      <c r="G209" s="113"/>
      <c r="H209" s="114"/>
      <c r="I209" s="224"/>
      <c r="J209" s="271"/>
      <c r="K209" s="23"/>
      <c r="L209" s="23"/>
      <c r="M209" s="23"/>
      <c r="N209" s="23"/>
      <c r="O209" s="23"/>
      <c r="P209" s="23"/>
      <c r="Q209" s="83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</row>
    <row r="210" spans="1:120" ht="15" x14ac:dyDescent="0.25">
      <c r="A210" s="1"/>
      <c r="B210" s="1"/>
      <c r="C210" s="52"/>
      <c r="D210" s="86"/>
      <c r="E210" s="86"/>
      <c r="F210" s="23"/>
      <c r="G210" s="113"/>
      <c r="H210" s="114"/>
      <c r="I210" s="224"/>
      <c r="J210" s="271"/>
      <c r="K210" s="23"/>
      <c r="L210" s="23"/>
      <c r="M210" s="23"/>
      <c r="N210" s="23"/>
      <c r="O210" s="23"/>
      <c r="P210" s="23"/>
      <c r="Q210" s="83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</row>
    <row r="211" spans="1:120" ht="15" x14ac:dyDescent="0.25">
      <c r="A211" s="1"/>
      <c r="B211" s="1"/>
      <c r="C211" s="52"/>
      <c r="D211" s="86"/>
      <c r="E211" s="86"/>
      <c r="F211" s="23"/>
      <c r="G211" s="113"/>
      <c r="H211" s="114"/>
      <c r="I211" s="224"/>
      <c r="J211" s="271"/>
      <c r="K211" s="23"/>
      <c r="L211" s="23"/>
      <c r="M211" s="23"/>
      <c r="N211" s="23"/>
      <c r="O211" s="23"/>
      <c r="P211" s="23"/>
      <c r="Q211" s="83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</row>
    <row r="212" spans="1:120" ht="15" x14ac:dyDescent="0.25">
      <c r="A212" s="1"/>
      <c r="B212" s="1"/>
      <c r="C212" s="52"/>
      <c r="D212" s="86"/>
      <c r="E212" s="86"/>
      <c r="F212" s="23"/>
      <c r="G212" s="113"/>
      <c r="H212" s="114"/>
      <c r="I212" s="224"/>
      <c r="J212" s="271"/>
      <c r="K212" s="23"/>
      <c r="L212" s="23"/>
      <c r="M212" s="23"/>
      <c r="N212" s="23"/>
      <c r="O212" s="23"/>
      <c r="P212" s="23"/>
      <c r="Q212" s="83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</row>
    <row r="213" spans="1:120" ht="15" x14ac:dyDescent="0.25">
      <c r="A213" s="1"/>
      <c r="B213" s="1"/>
      <c r="C213" s="52"/>
      <c r="D213" s="86"/>
      <c r="E213" s="86"/>
      <c r="F213" s="23"/>
      <c r="G213" s="113"/>
      <c r="H213" s="114"/>
      <c r="I213" s="224"/>
      <c r="J213" s="271"/>
      <c r="K213" s="23"/>
      <c r="L213" s="23"/>
      <c r="M213" s="23"/>
      <c r="N213" s="23"/>
      <c r="O213" s="23"/>
      <c r="P213" s="23"/>
      <c r="Q213" s="83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</row>
    <row r="214" spans="1:120" ht="15" x14ac:dyDescent="0.25">
      <c r="A214" s="1"/>
      <c r="B214" s="1"/>
      <c r="C214" s="52"/>
      <c r="D214" s="86"/>
      <c r="E214" s="86"/>
      <c r="F214" s="23"/>
      <c r="G214" s="113"/>
      <c r="H214" s="114"/>
      <c r="I214" s="224"/>
      <c r="J214" s="271"/>
      <c r="K214" s="23"/>
      <c r="L214" s="23"/>
      <c r="M214" s="23"/>
      <c r="N214" s="23"/>
      <c r="O214" s="23"/>
      <c r="P214" s="23"/>
      <c r="Q214" s="83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</row>
    <row r="215" spans="1:120" ht="15" x14ac:dyDescent="0.25">
      <c r="A215" s="1"/>
      <c r="B215" s="1"/>
      <c r="C215" s="52"/>
      <c r="D215" s="86"/>
      <c r="E215" s="86"/>
      <c r="F215" s="23"/>
      <c r="G215" s="113"/>
      <c r="H215" s="114"/>
      <c r="I215" s="224"/>
      <c r="J215" s="271"/>
      <c r="K215" s="23"/>
      <c r="L215" s="23"/>
      <c r="M215" s="23"/>
      <c r="N215" s="23"/>
      <c r="O215" s="23"/>
      <c r="P215" s="23"/>
      <c r="Q215" s="83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</row>
    <row r="216" spans="1:120" ht="15" x14ac:dyDescent="0.25">
      <c r="A216" s="1"/>
      <c r="B216" s="1"/>
      <c r="C216" s="52"/>
      <c r="D216" s="86"/>
      <c r="E216" s="86"/>
      <c r="F216" s="23"/>
      <c r="G216" s="113"/>
      <c r="H216" s="114"/>
      <c r="I216" s="224"/>
      <c r="J216" s="271"/>
      <c r="K216" s="23"/>
      <c r="L216" s="23"/>
      <c r="M216" s="23"/>
      <c r="N216" s="23"/>
      <c r="O216" s="23"/>
      <c r="P216" s="23"/>
      <c r="Q216" s="83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</row>
    <row r="217" spans="1:120" ht="15" x14ac:dyDescent="0.25">
      <c r="A217" s="1"/>
      <c r="B217" s="1"/>
      <c r="C217" s="52"/>
      <c r="D217" s="86"/>
      <c r="E217" s="86"/>
      <c r="F217" s="23"/>
      <c r="G217" s="113"/>
      <c r="H217" s="114"/>
      <c r="I217" s="224"/>
      <c r="J217" s="271"/>
      <c r="K217" s="23"/>
      <c r="L217" s="23"/>
      <c r="M217" s="23"/>
      <c r="N217" s="23"/>
      <c r="O217" s="23"/>
      <c r="P217" s="23"/>
      <c r="Q217" s="83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</row>
    <row r="218" spans="1:120" ht="15" x14ac:dyDescent="0.25">
      <c r="A218" s="1"/>
      <c r="B218" s="1"/>
      <c r="C218" s="52"/>
      <c r="D218" s="86"/>
      <c r="E218" s="86"/>
      <c r="F218" s="23"/>
      <c r="G218" s="113"/>
      <c r="H218" s="114"/>
      <c r="I218" s="224"/>
      <c r="J218" s="271"/>
      <c r="K218" s="23"/>
      <c r="L218" s="23"/>
      <c r="M218" s="23"/>
      <c r="N218" s="23"/>
      <c r="O218" s="23"/>
      <c r="P218" s="23"/>
      <c r="Q218" s="83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</row>
    <row r="219" spans="1:120" ht="15" x14ac:dyDescent="0.25">
      <c r="A219" s="1"/>
      <c r="B219" s="1"/>
      <c r="C219" s="52"/>
      <c r="D219" s="86"/>
      <c r="E219" s="86"/>
      <c r="F219" s="23"/>
      <c r="G219" s="113"/>
      <c r="H219" s="114"/>
      <c r="I219" s="224"/>
      <c r="J219" s="271"/>
      <c r="K219" s="23"/>
      <c r="L219" s="23"/>
      <c r="M219" s="23"/>
      <c r="N219" s="23"/>
      <c r="O219" s="23"/>
      <c r="P219" s="23"/>
      <c r="Q219" s="83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</row>
    <row r="220" spans="1:120" ht="15" x14ac:dyDescent="0.25">
      <c r="A220" s="1"/>
      <c r="B220" s="1"/>
      <c r="C220" s="52"/>
      <c r="D220" s="86"/>
      <c r="E220" s="86"/>
      <c r="F220" s="23"/>
      <c r="G220" s="113"/>
      <c r="H220" s="114"/>
      <c r="I220" s="224"/>
      <c r="J220" s="271"/>
      <c r="K220" s="23"/>
      <c r="L220" s="23"/>
      <c r="M220" s="23"/>
      <c r="N220" s="23"/>
      <c r="O220" s="23"/>
      <c r="P220" s="23"/>
      <c r="Q220" s="83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</row>
    <row r="221" spans="1:120" ht="15" x14ac:dyDescent="0.25">
      <c r="A221" s="1"/>
      <c r="B221" s="1"/>
      <c r="C221" s="52"/>
      <c r="D221" s="86"/>
      <c r="E221" s="86"/>
      <c r="F221" s="23"/>
      <c r="G221" s="113"/>
      <c r="H221" s="114"/>
      <c r="I221" s="224"/>
      <c r="J221" s="271"/>
      <c r="K221" s="23"/>
      <c r="L221" s="23"/>
      <c r="M221" s="23"/>
      <c r="N221" s="23"/>
      <c r="O221" s="23"/>
      <c r="P221" s="23"/>
      <c r="Q221" s="83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</row>
    <row r="222" spans="1:120" ht="15" x14ac:dyDescent="0.25">
      <c r="A222" s="1"/>
      <c r="B222" s="1"/>
      <c r="C222" s="52"/>
      <c r="D222" s="86"/>
      <c r="E222" s="86"/>
      <c r="F222" s="23"/>
      <c r="G222" s="113"/>
      <c r="H222" s="114"/>
      <c r="I222" s="224"/>
      <c r="J222" s="271"/>
      <c r="K222" s="23"/>
      <c r="L222" s="23"/>
      <c r="M222" s="23"/>
      <c r="N222" s="23"/>
      <c r="O222" s="23"/>
      <c r="P222" s="23"/>
      <c r="Q222" s="83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</row>
    <row r="223" spans="1:120" ht="15" x14ac:dyDescent="0.25">
      <c r="A223" s="1"/>
      <c r="B223" s="1"/>
      <c r="C223" s="52"/>
      <c r="D223" s="86"/>
      <c r="E223" s="86"/>
      <c r="F223" s="23"/>
      <c r="G223" s="113"/>
      <c r="H223" s="114"/>
      <c r="I223" s="224"/>
      <c r="J223" s="271"/>
      <c r="K223" s="23"/>
      <c r="L223" s="23"/>
      <c r="M223" s="23"/>
      <c r="N223" s="23"/>
      <c r="O223" s="23"/>
      <c r="P223" s="23"/>
      <c r="Q223" s="83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</row>
    <row r="224" spans="1:120" ht="15" x14ac:dyDescent="0.25">
      <c r="A224" s="1"/>
      <c r="B224" s="1"/>
      <c r="C224" s="52"/>
      <c r="D224" s="86"/>
      <c r="E224" s="86"/>
      <c r="F224" s="23"/>
      <c r="G224" s="113"/>
      <c r="H224" s="114"/>
      <c r="I224" s="224"/>
      <c r="J224" s="271"/>
      <c r="K224" s="23"/>
      <c r="L224" s="23"/>
      <c r="M224" s="23"/>
      <c r="N224" s="23"/>
      <c r="O224" s="23"/>
      <c r="P224" s="23"/>
      <c r="Q224" s="83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</row>
    <row r="225" spans="1:120" ht="15" x14ac:dyDescent="0.25">
      <c r="A225" s="1"/>
      <c r="B225" s="1"/>
      <c r="C225" s="52"/>
      <c r="D225" s="86"/>
      <c r="E225" s="86"/>
      <c r="F225" s="23"/>
      <c r="G225" s="113"/>
      <c r="H225" s="114"/>
      <c r="I225" s="224"/>
      <c r="J225" s="271"/>
      <c r="K225" s="23"/>
      <c r="L225" s="23"/>
      <c r="M225" s="23"/>
      <c r="N225" s="23"/>
      <c r="O225" s="23"/>
      <c r="P225" s="23"/>
      <c r="Q225" s="83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</row>
    <row r="226" spans="1:120" ht="15" x14ac:dyDescent="0.25">
      <c r="A226" s="1"/>
      <c r="B226" s="1"/>
      <c r="C226" s="52"/>
      <c r="D226" s="86"/>
      <c r="E226" s="86"/>
      <c r="F226" s="23"/>
      <c r="G226" s="113"/>
      <c r="H226" s="114"/>
      <c r="I226" s="224"/>
      <c r="J226" s="271"/>
      <c r="K226" s="23"/>
      <c r="L226" s="23"/>
      <c r="M226" s="23"/>
      <c r="N226" s="23"/>
      <c r="O226" s="23"/>
      <c r="P226" s="23"/>
      <c r="Q226" s="83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</row>
    <row r="227" spans="1:120" ht="15" x14ac:dyDescent="0.25">
      <c r="A227" s="1"/>
      <c r="B227" s="1"/>
      <c r="C227" s="52"/>
      <c r="D227" s="86"/>
      <c r="E227" s="86"/>
      <c r="F227" s="23"/>
      <c r="G227" s="113"/>
      <c r="H227" s="114"/>
      <c r="I227" s="224"/>
      <c r="J227" s="271"/>
      <c r="K227" s="23"/>
      <c r="L227" s="23"/>
      <c r="M227" s="23"/>
      <c r="N227" s="23"/>
      <c r="O227" s="23"/>
      <c r="P227" s="23"/>
      <c r="Q227" s="83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</row>
    <row r="228" spans="1:120" ht="15" x14ac:dyDescent="0.25">
      <c r="A228" s="1"/>
      <c r="B228" s="1"/>
      <c r="C228" s="52"/>
      <c r="D228" s="86"/>
      <c r="E228" s="86"/>
      <c r="F228" s="23"/>
      <c r="G228" s="113"/>
      <c r="H228" s="114"/>
      <c r="I228" s="224"/>
      <c r="J228" s="271"/>
      <c r="K228" s="23"/>
      <c r="L228" s="23"/>
      <c r="M228" s="23"/>
      <c r="N228" s="23"/>
      <c r="O228" s="23"/>
      <c r="P228" s="23"/>
      <c r="Q228" s="83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</row>
    <row r="229" spans="1:120" ht="15" x14ac:dyDescent="0.25">
      <c r="A229" s="1"/>
      <c r="B229" s="1"/>
      <c r="C229" s="52"/>
      <c r="D229" s="86"/>
      <c r="E229" s="86"/>
      <c r="F229" s="23"/>
      <c r="G229" s="113"/>
      <c r="H229" s="114"/>
      <c r="I229" s="224"/>
      <c r="J229" s="271"/>
      <c r="K229" s="23"/>
      <c r="L229" s="23"/>
      <c r="M229" s="23"/>
      <c r="N229" s="23"/>
      <c r="O229" s="23"/>
      <c r="P229" s="23"/>
      <c r="Q229" s="83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</row>
    <row r="230" spans="1:120" ht="15" x14ac:dyDescent="0.25">
      <c r="A230" s="1"/>
      <c r="B230" s="1"/>
      <c r="C230" s="52"/>
      <c r="D230" s="86"/>
      <c r="E230" s="86"/>
      <c r="F230" s="23"/>
      <c r="G230" s="113"/>
      <c r="H230" s="114"/>
      <c r="I230" s="224"/>
      <c r="J230" s="271"/>
      <c r="K230" s="23"/>
      <c r="L230" s="23"/>
      <c r="M230" s="23"/>
      <c r="N230" s="23"/>
      <c r="O230" s="23"/>
      <c r="P230" s="23"/>
      <c r="Q230" s="83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</row>
    <row r="231" spans="1:120" ht="15" x14ac:dyDescent="0.25">
      <c r="A231" s="1"/>
      <c r="B231" s="1"/>
      <c r="C231" s="52"/>
      <c r="D231" s="86"/>
      <c r="E231" s="86"/>
      <c r="F231" s="23"/>
      <c r="G231" s="113"/>
      <c r="H231" s="114"/>
      <c r="I231" s="224"/>
      <c r="J231" s="271"/>
      <c r="K231" s="23"/>
      <c r="L231" s="23"/>
      <c r="M231" s="23"/>
      <c r="N231" s="23"/>
      <c r="O231" s="23"/>
      <c r="P231" s="23"/>
      <c r="Q231" s="83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</row>
    <row r="232" spans="1:120" ht="15" x14ac:dyDescent="0.25">
      <c r="A232" s="1"/>
      <c r="B232" s="1"/>
      <c r="C232" s="52"/>
      <c r="D232" s="86"/>
      <c r="E232" s="86"/>
      <c r="F232" s="23"/>
      <c r="G232" s="113"/>
      <c r="H232" s="114"/>
      <c r="I232" s="224"/>
      <c r="J232" s="271"/>
      <c r="K232" s="23"/>
      <c r="L232" s="23"/>
      <c r="M232" s="23"/>
      <c r="N232" s="23"/>
      <c r="O232" s="23"/>
      <c r="P232" s="23"/>
      <c r="Q232" s="83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</row>
    <row r="233" spans="1:120" ht="15" x14ac:dyDescent="0.25">
      <c r="A233" s="1"/>
      <c r="B233" s="1"/>
      <c r="C233" s="52"/>
      <c r="D233" s="86"/>
      <c r="E233" s="86"/>
      <c r="F233" s="23"/>
      <c r="G233" s="113"/>
      <c r="H233" s="114"/>
      <c r="I233" s="224"/>
      <c r="J233" s="271"/>
      <c r="K233" s="23"/>
      <c r="L233" s="23"/>
      <c r="M233" s="23"/>
      <c r="N233" s="23"/>
      <c r="O233" s="23"/>
      <c r="P233" s="23"/>
      <c r="Q233" s="83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</row>
    <row r="234" spans="1:120" ht="15" x14ac:dyDescent="0.25">
      <c r="A234" s="1"/>
      <c r="B234" s="1"/>
      <c r="C234" s="52"/>
      <c r="D234" s="86"/>
      <c r="E234" s="86"/>
      <c r="F234" s="23"/>
      <c r="G234" s="113"/>
      <c r="H234" s="114"/>
      <c r="I234" s="224"/>
      <c r="J234" s="271"/>
      <c r="K234" s="23"/>
      <c r="L234" s="23"/>
      <c r="M234" s="23"/>
      <c r="N234" s="23"/>
      <c r="O234" s="23"/>
      <c r="P234" s="23"/>
      <c r="Q234" s="83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</row>
    <row r="235" spans="1:120" ht="15" x14ac:dyDescent="0.25">
      <c r="A235" s="1"/>
      <c r="B235" s="1"/>
      <c r="C235" s="52"/>
      <c r="D235" s="86"/>
      <c r="E235" s="86"/>
      <c r="F235" s="23"/>
      <c r="G235" s="113"/>
      <c r="H235" s="114"/>
      <c r="I235" s="224"/>
      <c r="J235" s="271"/>
      <c r="K235" s="23"/>
      <c r="L235" s="23"/>
      <c r="M235" s="23"/>
      <c r="N235" s="23"/>
      <c r="O235" s="23"/>
      <c r="P235" s="23"/>
      <c r="Q235" s="83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</row>
    <row r="236" spans="1:120" ht="15" x14ac:dyDescent="0.25">
      <c r="A236" s="1"/>
      <c r="B236" s="1"/>
      <c r="C236" s="52"/>
      <c r="D236" s="86"/>
      <c r="E236" s="86"/>
      <c r="F236" s="23"/>
      <c r="G236" s="113"/>
      <c r="H236" s="114"/>
      <c r="I236" s="224"/>
      <c r="J236" s="271"/>
      <c r="K236" s="23"/>
      <c r="L236" s="23"/>
      <c r="M236" s="23"/>
      <c r="N236" s="23"/>
      <c r="O236" s="23"/>
      <c r="P236" s="23"/>
      <c r="Q236" s="83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</row>
    <row r="237" spans="1:120" ht="15" x14ac:dyDescent="0.25">
      <c r="A237" s="1"/>
      <c r="B237" s="1"/>
      <c r="C237" s="52"/>
      <c r="D237" s="86"/>
      <c r="E237" s="86"/>
      <c r="F237" s="23"/>
      <c r="G237" s="113"/>
      <c r="H237" s="114"/>
      <c r="I237" s="224"/>
      <c r="J237" s="271"/>
      <c r="K237" s="23"/>
      <c r="L237" s="23"/>
      <c r="M237" s="23"/>
      <c r="N237" s="23"/>
      <c r="O237" s="23"/>
      <c r="P237" s="23"/>
      <c r="Q237" s="83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</row>
    <row r="238" spans="1:120" ht="15" x14ac:dyDescent="0.25">
      <c r="A238" s="1"/>
      <c r="B238" s="1"/>
      <c r="C238" s="52"/>
      <c r="D238" s="86"/>
      <c r="E238" s="86"/>
      <c r="F238" s="23"/>
      <c r="G238" s="113"/>
      <c r="H238" s="114"/>
      <c r="I238" s="224"/>
      <c r="J238" s="271"/>
      <c r="K238" s="23"/>
      <c r="L238" s="23"/>
      <c r="M238" s="23"/>
      <c r="N238" s="23"/>
      <c r="O238" s="23"/>
      <c r="P238" s="23"/>
      <c r="Q238" s="83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</row>
    <row r="239" spans="1:120" ht="15" x14ac:dyDescent="0.25">
      <c r="A239" s="1"/>
      <c r="B239" s="1"/>
      <c r="C239" s="52"/>
      <c r="D239" s="86"/>
      <c r="E239" s="86"/>
      <c r="F239" s="23"/>
      <c r="G239" s="113"/>
      <c r="H239" s="114"/>
      <c r="I239" s="224"/>
      <c r="J239" s="271"/>
      <c r="K239" s="23"/>
      <c r="L239" s="23"/>
      <c r="M239" s="23"/>
      <c r="N239" s="23"/>
      <c r="O239" s="23"/>
      <c r="P239" s="23"/>
      <c r="Q239" s="83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</row>
    <row r="240" spans="1:120" ht="15" x14ac:dyDescent="0.25">
      <c r="A240" s="1"/>
      <c r="B240" s="1"/>
      <c r="C240" s="52"/>
      <c r="D240" s="86"/>
      <c r="E240" s="86"/>
      <c r="F240" s="23"/>
      <c r="G240" s="115"/>
      <c r="H240" s="116"/>
      <c r="I240" s="225"/>
      <c r="J240" s="272"/>
      <c r="K240" s="23"/>
      <c r="L240" s="23"/>
      <c r="M240" s="23"/>
      <c r="N240" s="23"/>
      <c r="O240" s="23"/>
      <c r="P240" s="23"/>
      <c r="Q240" s="83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</row>
    <row r="241" spans="1:120" ht="15" x14ac:dyDescent="0.25">
      <c r="A241" s="1"/>
      <c r="B241" s="1"/>
      <c r="C241" s="52"/>
      <c r="D241" s="86"/>
      <c r="E241" s="86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83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</row>
    <row r="242" spans="1:120" ht="15" x14ac:dyDescent="0.25">
      <c r="A242" s="1"/>
      <c r="B242" s="1"/>
      <c r="C242" s="52"/>
      <c r="D242" s="86"/>
      <c r="E242" s="86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83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</row>
    <row r="243" spans="1:120" ht="15" x14ac:dyDescent="0.25">
      <c r="A243" s="1"/>
      <c r="B243" s="1"/>
      <c r="C243" s="53"/>
      <c r="D243" s="92"/>
      <c r="E243" s="92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5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</row>
    <row r="244" spans="1:120" ht="15" x14ac:dyDescent="0.25">
      <c r="A244" s="1"/>
      <c r="B244" s="1"/>
      <c r="C244" s="9"/>
      <c r="D244" s="9"/>
      <c r="E244" s="9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</row>
    <row r="245" spans="1:120" ht="15" x14ac:dyDescent="0.25">
      <c r="A245" s="1"/>
      <c r="B245" s="1"/>
      <c r="C245" s="9"/>
      <c r="D245" s="9"/>
      <c r="E245" s="9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</row>
    <row r="246" spans="1:120" ht="15" x14ac:dyDescent="0.25">
      <c r="A246" s="1"/>
      <c r="B246" s="1"/>
      <c r="C246" s="9"/>
      <c r="D246" s="9"/>
      <c r="E246" s="9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</row>
    <row r="247" spans="1:120" ht="15" x14ac:dyDescent="0.25">
      <c r="A247" s="1"/>
      <c r="B247" s="1"/>
      <c r="C247" s="9"/>
      <c r="D247" s="9"/>
      <c r="E247" s="9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</row>
    <row r="248" spans="1:120" ht="15" x14ac:dyDescent="0.25">
      <c r="A248" s="1"/>
      <c r="B248" s="1"/>
      <c r="C248" s="9"/>
      <c r="D248" s="9"/>
      <c r="E248" s="9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</row>
    <row r="249" spans="1:120" ht="15" x14ac:dyDescent="0.25">
      <c r="A249" s="1"/>
      <c r="B249" s="1"/>
      <c r="C249" s="9"/>
      <c r="D249" s="9"/>
      <c r="E249" s="9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</row>
    <row r="250" spans="1:120" ht="15" x14ac:dyDescent="0.25">
      <c r="A250" s="1"/>
      <c r="B250" s="1"/>
      <c r="C250" s="9"/>
      <c r="D250" s="9"/>
      <c r="E250" s="9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</row>
    <row r="251" spans="1:120" ht="15" x14ac:dyDescent="0.25">
      <c r="A251" s="1"/>
      <c r="B251" s="1"/>
      <c r="C251" s="9"/>
      <c r="D251" s="9"/>
      <c r="E251" s="9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</row>
    <row r="252" spans="1:120" ht="15" x14ac:dyDescent="0.25">
      <c r="A252" s="1"/>
      <c r="B252" s="1"/>
      <c r="C252" s="9"/>
      <c r="D252" s="9"/>
      <c r="E252" s="9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</row>
    <row r="253" spans="1:120" ht="15" x14ac:dyDescent="0.25">
      <c r="A253" s="1"/>
      <c r="B253" s="1"/>
      <c r="C253" s="9"/>
      <c r="D253" s="9"/>
      <c r="E253" s="9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</row>
    <row r="254" spans="1:120" ht="15" x14ac:dyDescent="0.25">
      <c r="A254" s="1"/>
      <c r="B254" s="1"/>
      <c r="C254" s="9"/>
      <c r="D254" s="9"/>
      <c r="E254" s="9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</row>
    <row r="255" spans="1:120" ht="15" x14ac:dyDescent="0.25">
      <c r="A255" s="1"/>
      <c r="B255" s="1"/>
      <c r="C255" s="9"/>
      <c r="D255" s="9"/>
      <c r="E255" s="9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</row>
    <row r="256" spans="1:120" ht="15" x14ac:dyDescent="0.25">
      <c r="A256" s="1"/>
      <c r="B256" s="1"/>
      <c r="C256" s="9"/>
      <c r="D256" s="9"/>
      <c r="E256" s="9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</row>
    <row r="257" spans="1:120" ht="15" x14ac:dyDescent="0.25">
      <c r="A257" s="1"/>
      <c r="B257" s="1"/>
      <c r="C257" s="9"/>
      <c r="D257" s="9"/>
      <c r="E257" s="9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</row>
    <row r="258" spans="1:120" ht="15" x14ac:dyDescent="0.25">
      <c r="A258" s="1"/>
      <c r="B258" s="1"/>
      <c r="C258" s="9"/>
      <c r="D258" s="9"/>
      <c r="E258" s="9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</row>
    <row r="259" spans="1:120" ht="15" x14ac:dyDescent="0.25">
      <c r="A259" s="1"/>
      <c r="B259" s="1"/>
      <c r="C259" s="9"/>
      <c r="D259" s="9"/>
      <c r="E259" s="9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</row>
    <row r="260" spans="1:120" ht="15" x14ac:dyDescent="0.25">
      <c r="A260" s="1"/>
      <c r="B260" s="1"/>
      <c r="C260" s="9"/>
      <c r="D260" s="9"/>
      <c r="E260" s="9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</row>
    <row r="261" spans="1:120" ht="15" x14ac:dyDescent="0.25">
      <c r="A261" s="1"/>
      <c r="B261" s="1"/>
      <c r="C261" s="9"/>
      <c r="D261" s="9"/>
      <c r="E261" s="9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</row>
    <row r="262" spans="1:120" ht="15" x14ac:dyDescent="0.25">
      <c r="A262" s="1"/>
      <c r="B262" s="1"/>
      <c r="C262" s="9"/>
      <c r="D262" s="9"/>
      <c r="E262" s="9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</row>
    <row r="263" spans="1:120" ht="15" x14ac:dyDescent="0.25">
      <c r="A263" s="1"/>
      <c r="B263" s="1"/>
      <c r="C263" s="9"/>
      <c r="D263" s="9"/>
      <c r="E263" s="9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</row>
    <row r="264" spans="1:120" ht="15" x14ac:dyDescent="0.25">
      <c r="A264" s="1"/>
      <c r="B264" s="1"/>
      <c r="C264" s="9"/>
      <c r="D264" s="9"/>
      <c r="E264" s="9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</row>
    <row r="265" spans="1:120" ht="15" x14ac:dyDescent="0.25">
      <c r="A265" s="1"/>
      <c r="B265" s="1"/>
      <c r="C265" s="9"/>
      <c r="D265" s="9"/>
      <c r="E265" s="9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</row>
    <row r="266" spans="1:120" ht="15" x14ac:dyDescent="0.25">
      <c r="A266" s="1"/>
      <c r="B266" s="1"/>
      <c r="C266" s="9"/>
      <c r="D266" s="9"/>
      <c r="E266" s="9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</row>
    <row r="267" spans="1:120" ht="15" x14ac:dyDescent="0.25">
      <c r="A267" s="1"/>
      <c r="B267" s="1"/>
      <c r="C267" s="9"/>
      <c r="D267" s="9"/>
      <c r="E267" s="9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</row>
    <row r="268" spans="1:120" ht="15" x14ac:dyDescent="0.25">
      <c r="A268" s="1"/>
      <c r="B268" s="1"/>
      <c r="C268" s="9"/>
      <c r="D268" s="9"/>
      <c r="E268" s="9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</row>
    <row r="269" spans="1:120" ht="15" x14ac:dyDescent="0.25">
      <c r="A269" s="1"/>
      <c r="B269" s="1"/>
      <c r="C269" s="9"/>
      <c r="D269" s="9"/>
      <c r="E269" s="9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</row>
    <row r="270" spans="1:120" ht="15" x14ac:dyDescent="0.25">
      <c r="A270" s="1"/>
      <c r="B270" s="1"/>
      <c r="C270" s="9"/>
      <c r="D270" s="9"/>
      <c r="E270" s="9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</row>
    <row r="271" spans="1:120" ht="15" x14ac:dyDescent="0.25">
      <c r="A271" s="1"/>
      <c r="B271" s="1"/>
      <c r="C271" s="9"/>
      <c r="D271" s="9"/>
      <c r="E271" s="9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</row>
    <row r="272" spans="1:120" ht="15" x14ac:dyDescent="0.25">
      <c r="A272" s="1"/>
      <c r="B272" s="1"/>
      <c r="C272" s="9"/>
      <c r="D272" s="9"/>
      <c r="E272" s="9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</row>
    <row r="273" spans="1:120" ht="15" x14ac:dyDescent="0.25">
      <c r="A273" s="1"/>
      <c r="B273" s="1"/>
      <c r="C273" s="9"/>
      <c r="D273" s="9"/>
      <c r="E273" s="9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</row>
    <row r="274" spans="1:120" ht="15" x14ac:dyDescent="0.25">
      <c r="A274" s="1"/>
      <c r="B274" s="1"/>
      <c r="C274" s="9"/>
      <c r="D274" s="9"/>
      <c r="E274" s="9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</row>
    <row r="275" spans="1:120" ht="15" x14ac:dyDescent="0.25">
      <c r="A275" s="1"/>
      <c r="B275" s="1"/>
      <c r="C275" s="9"/>
      <c r="D275" s="9"/>
      <c r="E275" s="9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</row>
    <row r="276" spans="1:120" ht="15" x14ac:dyDescent="0.25">
      <c r="A276" s="1"/>
      <c r="B276" s="1"/>
      <c r="C276" s="9"/>
      <c r="D276" s="9"/>
      <c r="E276" s="9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</row>
    <row r="277" spans="1:120" ht="15" x14ac:dyDescent="0.25">
      <c r="A277" s="1"/>
      <c r="B277" s="1"/>
      <c r="C277" s="9"/>
      <c r="D277" s="9"/>
      <c r="E277" s="9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</row>
    <row r="278" spans="1:120" ht="15" x14ac:dyDescent="0.25">
      <c r="A278" s="1"/>
      <c r="B278" s="1"/>
      <c r="C278" s="9"/>
      <c r="D278" s="9"/>
      <c r="E278" s="9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</row>
    <row r="279" spans="1:120" ht="15" x14ac:dyDescent="0.25">
      <c r="A279" s="1"/>
      <c r="B279" s="1"/>
      <c r="C279" s="9"/>
      <c r="D279" s="9"/>
      <c r="E279" s="9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</row>
    <row r="280" spans="1:120" ht="15" x14ac:dyDescent="0.25">
      <c r="A280" s="1"/>
      <c r="B280" s="1"/>
      <c r="C280" s="9"/>
      <c r="D280" s="9"/>
      <c r="E280" s="9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</row>
    <row r="281" spans="1:120" ht="15" x14ac:dyDescent="0.25">
      <c r="A281" s="1"/>
      <c r="B281" s="1"/>
      <c r="C281" s="9"/>
      <c r="D281" s="9"/>
      <c r="E281" s="9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</row>
    <row r="282" spans="1:120" ht="15" x14ac:dyDescent="0.25">
      <c r="A282" s="1"/>
      <c r="B282" s="1"/>
      <c r="C282" s="9"/>
      <c r="D282" s="9"/>
      <c r="E282" s="9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</row>
    <row r="283" spans="1:120" ht="15" x14ac:dyDescent="0.25">
      <c r="A283" s="1"/>
      <c r="B283" s="1"/>
      <c r="C283" s="9"/>
      <c r="D283" s="9"/>
      <c r="E283" s="9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</row>
    <row r="284" spans="1:120" ht="15" x14ac:dyDescent="0.25">
      <c r="A284" s="1"/>
      <c r="B284" s="1"/>
      <c r="C284" s="9"/>
      <c r="D284" s="9"/>
      <c r="E284" s="9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</row>
    <row r="285" spans="1:120" ht="15" x14ac:dyDescent="0.25">
      <c r="A285" s="1"/>
      <c r="B285" s="1"/>
      <c r="C285" s="9"/>
      <c r="D285" s="9"/>
      <c r="E285" s="9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</row>
    <row r="286" spans="1:120" ht="15" x14ac:dyDescent="0.25">
      <c r="A286" s="1"/>
      <c r="B286" s="1"/>
      <c r="C286" s="9"/>
      <c r="D286" s="9"/>
      <c r="E286" s="9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</row>
    <row r="287" spans="1:120" ht="15" x14ac:dyDescent="0.25">
      <c r="A287" s="1"/>
      <c r="B287" s="1"/>
      <c r="C287" s="9"/>
      <c r="D287" s="9"/>
      <c r="E287" s="9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</row>
    <row r="288" spans="1:120" ht="15" x14ac:dyDescent="0.25">
      <c r="A288" s="1"/>
      <c r="B288" s="1"/>
      <c r="C288" s="9"/>
      <c r="D288" s="9"/>
      <c r="E288" s="9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</row>
    <row r="289" spans="1:120" ht="15" x14ac:dyDescent="0.25">
      <c r="A289" s="1"/>
      <c r="B289" s="1"/>
      <c r="C289" s="9"/>
      <c r="D289" s="9"/>
      <c r="E289" s="9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</row>
    <row r="290" spans="1:120" ht="15" x14ac:dyDescent="0.25">
      <c r="A290" s="1"/>
      <c r="B290" s="1"/>
      <c r="C290" s="9"/>
      <c r="D290" s="9"/>
      <c r="E290" s="9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</row>
    <row r="291" spans="1:120" ht="15" x14ac:dyDescent="0.25">
      <c r="A291" s="1"/>
      <c r="B291" s="1"/>
      <c r="C291" s="9"/>
      <c r="D291" s="9"/>
      <c r="E291" s="9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</row>
    <row r="292" spans="1:120" ht="15" x14ac:dyDescent="0.25">
      <c r="A292" s="1"/>
      <c r="B292" s="1"/>
      <c r="C292" s="9"/>
      <c r="D292" s="9"/>
      <c r="E292" s="9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</row>
    <row r="293" spans="1:120" ht="15" x14ac:dyDescent="0.25">
      <c r="A293" s="1"/>
      <c r="B293" s="1"/>
      <c r="C293" s="9"/>
      <c r="D293" s="9"/>
      <c r="E293" s="9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</row>
    <row r="294" spans="1:120" ht="15" x14ac:dyDescent="0.25">
      <c r="A294" s="1"/>
      <c r="B294" s="1"/>
      <c r="C294" s="9"/>
      <c r="D294" s="9"/>
      <c r="E294" s="9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</row>
    <row r="295" spans="1:120" ht="15" x14ac:dyDescent="0.25">
      <c r="A295" s="1"/>
      <c r="B295" s="1"/>
      <c r="C295" s="9"/>
      <c r="D295" s="9"/>
      <c r="E295" s="9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</row>
    <row r="296" spans="1:120" ht="15" x14ac:dyDescent="0.25">
      <c r="A296" s="1"/>
      <c r="B296" s="1"/>
      <c r="C296" s="9"/>
      <c r="D296" s="9"/>
      <c r="E296" s="9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</row>
    <row r="297" spans="1:120" ht="15" x14ac:dyDescent="0.25">
      <c r="A297" s="1"/>
      <c r="B297" s="1"/>
      <c r="C297" s="9"/>
      <c r="D297" s="9"/>
      <c r="E297" s="9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</row>
    <row r="298" spans="1:120" ht="15" x14ac:dyDescent="0.25">
      <c r="A298" s="1"/>
      <c r="B298" s="1"/>
      <c r="C298" s="9"/>
      <c r="D298" s="9"/>
      <c r="E298" s="9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</row>
    <row r="299" spans="1:120" ht="15" x14ac:dyDescent="0.25">
      <c r="A299" s="1"/>
      <c r="B299" s="1"/>
      <c r="C299" s="9"/>
      <c r="D299" s="9"/>
      <c r="E299" s="9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</row>
    <row r="300" spans="1:120" ht="15" x14ac:dyDescent="0.25">
      <c r="A300" s="1"/>
      <c r="B300" s="1"/>
      <c r="C300" s="9"/>
      <c r="D300" s="9"/>
      <c r="E300" s="9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</row>
    <row r="301" spans="1:120" ht="15" x14ac:dyDescent="0.25">
      <c r="A301" s="1"/>
      <c r="B301" s="1"/>
      <c r="C301" s="9"/>
      <c r="D301" s="9"/>
      <c r="E301" s="9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</row>
    <row r="302" spans="1:120" ht="15" x14ac:dyDescent="0.25">
      <c r="A302" s="1"/>
      <c r="B302" s="1"/>
      <c r="C302" s="9"/>
      <c r="D302" s="9"/>
      <c r="E302" s="9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</row>
    <row r="303" spans="1:120" ht="15" x14ac:dyDescent="0.25">
      <c r="A303" s="1"/>
      <c r="B303" s="1"/>
      <c r="C303" s="9"/>
      <c r="D303" s="9"/>
      <c r="E303" s="9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</row>
    <row r="304" spans="1:120" ht="15" x14ac:dyDescent="0.25">
      <c r="A304" s="1"/>
      <c r="B304" s="1"/>
      <c r="C304" s="9"/>
      <c r="D304" s="9"/>
      <c r="E304" s="9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</row>
    <row r="305" spans="1:120" ht="15" x14ac:dyDescent="0.25">
      <c r="A305" s="1"/>
      <c r="B305" s="1"/>
      <c r="C305" s="9"/>
      <c r="D305" s="9"/>
      <c r="E305" s="9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</row>
    <row r="306" spans="1:120" ht="15" x14ac:dyDescent="0.25">
      <c r="A306" s="1"/>
      <c r="B306" s="1"/>
      <c r="C306" s="9"/>
      <c r="D306" s="9"/>
      <c r="E306" s="9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</row>
    <row r="307" spans="1:120" ht="15" x14ac:dyDescent="0.25">
      <c r="A307" s="1"/>
      <c r="B307" s="1"/>
      <c r="C307" s="9"/>
      <c r="D307" s="9"/>
      <c r="E307" s="9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</row>
    <row r="308" spans="1:120" ht="15" x14ac:dyDescent="0.25">
      <c r="A308" s="1"/>
      <c r="B308" s="1"/>
      <c r="C308" s="9"/>
      <c r="D308" s="9"/>
      <c r="E308" s="9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</row>
    <row r="309" spans="1:120" ht="15" x14ac:dyDescent="0.25">
      <c r="A309" s="1"/>
      <c r="B309" s="1"/>
      <c r="C309" s="9"/>
      <c r="D309" s="9"/>
      <c r="E309" s="9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</row>
    <row r="310" spans="1:120" ht="15" x14ac:dyDescent="0.25">
      <c r="A310" s="1"/>
      <c r="B310" s="1"/>
      <c r="C310" s="9"/>
      <c r="D310" s="9"/>
      <c r="E310" s="9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</row>
    <row r="311" spans="1:120" ht="15" x14ac:dyDescent="0.25">
      <c r="A311" s="1"/>
      <c r="B311" s="1"/>
      <c r="C311" s="9"/>
      <c r="D311" s="9"/>
      <c r="E311" s="9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</row>
    <row r="312" spans="1:120" ht="15" x14ac:dyDescent="0.25">
      <c r="A312" s="1"/>
      <c r="B312" s="1"/>
      <c r="C312" s="9"/>
      <c r="D312" s="9"/>
      <c r="E312" s="9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</row>
    <row r="313" spans="1:120" ht="15" x14ac:dyDescent="0.25">
      <c r="A313" s="1"/>
      <c r="B313" s="1"/>
      <c r="C313" s="9"/>
      <c r="D313" s="9"/>
      <c r="E313" s="9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</row>
    <row r="314" spans="1:120" ht="15" x14ac:dyDescent="0.25">
      <c r="A314" s="1"/>
      <c r="B314" s="1"/>
      <c r="C314" s="9"/>
      <c r="D314" s="9"/>
      <c r="E314" s="9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</row>
    <row r="315" spans="1:120" ht="15" x14ac:dyDescent="0.25">
      <c r="A315" s="1"/>
      <c r="B315" s="1"/>
      <c r="C315" s="9"/>
      <c r="D315" s="9"/>
      <c r="E315" s="9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</row>
    <row r="316" spans="1:120" ht="15" x14ac:dyDescent="0.25">
      <c r="A316" s="1"/>
      <c r="B316" s="1"/>
      <c r="C316" s="9"/>
      <c r="D316" s="9"/>
      <c r="E316" s="9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</row>
    <row r="317" spans="1:120" ht="15" x14ac:dyDescent="0.25">
      <c r="A317" s="1"/>
      <c r="B317" s="1"/>
      <c r="C317" s="9"/>
      <c r="D317" s="9"/>
      <c r="E317" s="9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</row>
    <row r="318" spans="1:120" ht="15" x14ac:dyDescent="0.25">
      <c r="A318" s="1"/>
      <c r="B318" s="1"/>
      <c r="C318" s="9"/>
      <c r="D318" s="9"/>
      <c r="E318" s="9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</row>
    <row r="319" spans="1:120" ht="15" x14ac:dyDescent="0.25">
      <c r="A319" s="1"/>
      <c r="B319" s="1"/>
      <c r="C319" s="9"/>
      <c r="D319" s="9"/>
      <c r="E319" s="9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</row>
    <row r="320" spans="1:120" ht="15" x14ac:dyDescent="0.25">
      <c r="A320" s="1"/>
      <c r="B320" s="1"/>
      <c r="C320" s="9"/>
      <c r="D320" s="9"/>
      <c r="E320" s="9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</row>
    <row r="321" spans="1:120" ht="15" x14ac:dyDescent="0.25">
      <c r="A321" s="1"/>
      <c r="B321" s="1"/>
      <c r="C321" s="9"/>
      <c r="D321" s="9"/>
      <c r="E321" s="9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</row>
    <row r="322" spans="1:120" ht="15" x14ac:dyDescent="0.25">
      <c r="A322" s="1"/>
      <c r="B322" s="1"/>
      <c r="C322" s="9"/>
      <c r="D322" s="9"/>
      <c r="E322" s="9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</row>
    <row r="323" spans="1:120" ht="15" x14ac:dyDescent="0.25">
      <c r="A323" s="1"/>
      <c r="B323" s="1"/>
      <c r="C323" s="9"/>
      <c r="D323" s="9"/>
      <c r="E323" s="9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</row>
    <row r="324" spans="1:120" ht="15" x14ac:dyDescent="0.25">
      <c r="A324" s="1"/>
      <c r="B324" s="1"/>
      <c r="C324" s="9"/>
      <c r="D324" s="9"/>
      <c r="E324" s="9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</row>
    <row r="325" spans="1:120" ht="15" x14ac:dyDescent="0.25">
      <c r="A325" s="1"/>
      <c r="B325" s="1"/>
      <c r="C325" s="9"/>
      <c r="D325" s="9"/>
      <c r="E325" s="9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</row>
    <row r="326" spans="1:120" ht="15" x14ac:dyDescent="0.25">
      <c r="A326" s="1"/>
      <c r="B326" s="1"/>
      <c r="C326" s="9"/>
      <c r="D326" s="9"/>
      <c r="E326" s="9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</row>
    <row r="327" spans="1:120" ht="15" x14ac:dyDescent="0.25">
      <c r="A327" s="1"/>
      <c r="B327" s="1"/>
      <c r="C327" s="9"/>
      <c r="D327" s="9"/>
      <c r="E327" s="9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</row>
    <row r="328" spans="1:120" ht="15" x14ac:dyDescent="0.25">
      <c r="A328" s="1"/>
      <c r="B328" s="1"/>
      <c r="C328" s="9"/>
      <c r="D328" s="9"/>
      <c r="E328" s="9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</row>
    <row r="329" spans="1:120" ht="15" x14ac:dyDescent="0.25">
      <c r="A329" s="1"/>
      <c r="B329" s="1"/>
      <c r="C329" s="9"/>
      <c r="D329" s="9"/>
      <c r="E329" s="9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</row>
    <row r="330" spans="1:120" ht="15" x14ac:dyDescent="0.25">
      <c r="A330" s="1"/>
      <c r="B330" s="1"/>
      <c r="C330" s="9"/>
      <c r="D330" s="9"/>
      <c r="E330" s="9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</row>
    <row r="331" spans="1:120" ht="15" x14ac:dyDescent="0.25">
      <c r="A331" s="1"/>
      <c r="B331" s="1"/>
      <c r="C331" s="9"/>
      <c r="D331" s="9"/>
      <c r="E331" s="9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</row>
    <row r="332" spans="1:120" ht="15" x14ac:dyDescent="0.25">
      <c r="A332" s="1"/>
      <c r="B332" s="1"/>
      <c r="C332" s="9"/>
      <c r="D332" s="9"/>
      <c r="E332" s="9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</row>
    <row r="333" spans="1:120" ht="15" x14ac:dyDescent="0.25">
      <c r="A333" s="1"/>
      <c r="B333" s="1"/>
      <c r="C333" s="9"/>
      <c r="D333" s="9"/>
      <c r="E333" s="9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</row>
    <row r="334" spans="1:120" ht="15" x14ac:dyDescent="0.25">
      <c r="A334" s="1"/>
      <c r="B334" s="1"/>
      <c r="C334" s="9"/>
      <c r="D334" s="9"/>
      <c r="E334" s="9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</row>
    <row r="335" spans="1:120" ht="15" x14ac:dyDescent="0.25">
      <c r="A335" s="1"/>
      <c r="B335" s="1"/>
      <c r="C335" s="9"/>
      <c r="D335" s="9"/>
      <c r="E335" s="9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</row>
    <row r="336" spans="1:120" ht="15" x14ac:dyDescent="0.25">
      <c r="A336" s="1"/>
      <c r="B336" s="1"/>
      <c r="C336" s="9"/>
      <c r="D336" s="9"/>
      <c r="E336" s="9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</row>
    <row r="337" spans="1:120" ht="15" x14ac:dyDescent="0.25">
      <c r="A337" s="1"/>
      <c r="B337" s="1"/>
      <c r="C337" s="9"/>
      <c r="D337" s="9"/>
      <c r="E337" s="9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</row>
    <row r="338" spans="1:120" ht="15" x14ac:dyDescent="0.25">
      <c r="A338" s="1"/>
      <c r="B338" s="1"/>
      <c r="C338" s="9"/>
      <c r="D338" s="9"/>
      <c r="E338" s="9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</row>
    <row r="339" spans="1:120" ht="15" x14ac:dyDescent="0.25">
      <c r="A339" s="1"/>
      <c r="B339" s="1"/>
      <c r="C339" s="9"/>
      <c r="D339" s="9"/>
      <c r="E339" s="9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</row>
    <row r="340" spans="1:120" ht="15" x14ac:dyDescent="0.25">
      <c r="A340" s="1"/>
      <c r="B340" s="1"/>
      <c r="C340" s="9"/>
      <c r="D340" s="9"/>
      <c r="E340" s="9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</row>
    <row r="341" spans="1:120" ht="15" x14ac:dyDescent="0.25">
      <c r="A341" s="1"/>
      <c r="B341" s="1"/>
      <c r="C341" s="9"/>
      <c r="D341" s="9"/>
      <c r="E341" s="9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</row>
    <row r="342" spans="1:120" ht="15" x14ac:dyDescent="0.25">
      <c r="A342" s="1"/>
      <c r="B342" s="1"/>
      <c r="C342" s="9"/>
      <c r="D342" s="9"/>
      <c r="E342" s="9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</row>
    <row r="343" spans="1:120" ht="15" x14ac:dyDescent="0.25">
      <c r="A343" s="1"/>
      <c r="B343" s="1"/>
      <c r="C343" s="9"/>
      <c r="D343" s="9"/>
      <c r="E343" s="9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</row>
    <row r="344" spans="1:120" ht="12" customHeight="1" x14ac:dyDescent="0.25">
      <c r="A344" s="1"/>
      <c r="B344" s="1"/>
      <c r="C344" s="9"/>
      <c r="D344" s="9"/>
      <c r="E344" s="9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</row>
    <row r="345" spans="1:120" ht="12" customHeight="1" x14ac:dyDescent="0.25">
      <c r="A345" s="1"/>
      <c r="B345" s="1"/>
      <c r="C345" s="9"/>
      <c r="D345" s="9"/>
      <c r="E345" s="9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</row>
    <row r="346" spans="1:120" ht="12" customHeight="1" x14ac:dyDescent="0.25">
      <c r="A346" s="1"/>
      <c r="B346" s="1"/>
      <c r="C346" s="9"/>
      <c r="D346" s="9"/>
      <c r="E346" s="9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</row>
    <row r="347" spans="1:120" ht="12" customHeight="1" x14ac:dyDescent="0.25">
      <c r="A347" s="1"/>
      <c r="B347" s="1"/>
      <c r="C347" s="9"/>
      <c r="D347" s="9"/>
      <c r="E347" s="9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</row>
    <row r="348" spans="1:120" ht="12" customHeight="1" x14ac:dyDescent="0.25">
      <c r="A348" s="1"/>
      <c r="B348" s="1"/>
      <c r="C348" s="1"/>
      <c r="D348" s="9"/>
      <c r="E348" s="9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</row>
    <row r="349" spans="1:120" ht="12" customHeight="1" x14ac:dyDescent="0.25">
      <c r="A349" s="1"/>
      <c r="B349" s="1"/>
      <c r="C349" s="1"/>
      <c r="D349" s="9"/>
      <c r="E349" s="9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</row>
    <row r="350" spans="1:120" ht="12" customHeight="1" x14ac:dyDescent="0.25">
      <c r="A350" s="1"/>
      <c r="B350" s="1"/>
      <c r="C350" s="1"/>
      <c r="D350" s="9"/>
      <c r="E350" s="9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</row>
    <row r="351" spans="1:120" ht="12" customHeight="1" x14ac:dyDescent="0.25">
      <c r="A351" s="1"/>
      <c r="B351" s="1"/>
      <c r="C351" s="1"/>
      <c r="D351" s="9"/>
      <c r="E351" s="9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</row>
    <row r="352" spans="1:120" ht="12" customHeight="1" x14ac:dyDescent="0.25">
      <c r="A352" s="1"/>
      <c r="B352" s="1"/>
      <c r="C352" s="1"/>
      <c r="D352" s="9"/>
      <c r="E352" s="9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</row>
    <row r="353" spans="1:120" ht="12" customHeight="1" x14ac:dyDescent="0.25">
      <c r="A353" s="1"/>
      <c r="B353" s="1"/>
      <c r="C353" s="1"/>
      <c r="D353" s="9"/>
      <c r="E353" s="9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</row>
    <row r="354" spans="1:120" ht="12" customHeight="1" x14ac:dyDescent="0.25">
      <c r="A354" s="1"/>
      <c r="B354" s="1"/>
      <c r="C354" s="1"/>
      <c r="D354" s="9"/>
      <c r="E354" s="9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</row>
    <row r="355" spans="1:120" ht="12" customHeight="1" x14ac:dyDescent="0.25">
      <c r="A355" s="1"/>
      <c r="B355" s="1"/>
      <c r="C355" s="1"/>
      <c r="D355" s="9"/>
      <c r="E355" s="9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</row>
    <row r="356" spans="1:120" ht="12" customHeight="1" x14ac:dyDescent="0.25">
      <c r="A356" s="1"/>
      <c r="B356" s="1"/>
      <c r="C356" s="1"/>
      <c r="D356" s="9"/>
      <c r="E356" s="9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</row>
    <row r="357" spans="1:120" ht="12" customHeight="1" x14ac:dyDescent="0.25">
      <c r="A357" s="1"/>
      <c r="B357" s="1"/>
      <c r="C357" s="1"/>
      <c r="D357" s="9"/>
      <c r="E357" s="9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</row>
    <row r="358" spans="1:120" ht="12" customHeight="1" x14ac:dyDescent="0.25">
      <c r="A358" s="1"/>
      <c r="B358" s="1"/>
      <c r="C358" s="1"/>
      <c r="D358" s="9"/>
      <c r="E358" s="9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</row>
    <row r="359" spans="1:120" ht="12" customHeight="1" x14ac:dyDescent="0.25">
      <c r="A359" s="1"/>
      <c r="B359" s="1"/>
      <c r="C359" s="1"/>
      <c r="D359" s="9"/>
      <c r="E359" s="9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</row>
    <row r="360" spans="1:120" ht="12" customHeight="1" x14ac:dyDescent="0.25">
      <c r="A360" s="1"/>
      <c r="B360" s="1"/>
      <c r="C360" s="1"/>
      <c r="D360" s="9"/>
      <c r="E360" s="9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</row>
    <row r="361" spans="1:120" ht="12" customHeight="1" x14ac:dyDescent="0.25">
      <c r="A361" s="1"/>
      <c r="B361" s="1"/>
      <c r="C361" s="1"/>
      <c r="D361" s="9"/>
      <c r="E361" s="9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</row>
    <row r="362" spans="1:120" ht="12" customHeight="1" x14ac:dyDescent="0.25">
      <c r="A362" s="1"/>
      <c r="B362" s="1"/>
      <c r="C362" s="1"/>
      <c r="D362" s="9"/>
      <c r="E362" s="9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</row>
    <row r="363" spans="1:120" ht="12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</row>
    <row r="364" spans="1:120" ht="12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</row>
    <row r="365" spans="1:120" ht="12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</row>
    <row r="366" spans="1:120" ht="12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</row>
    <row r="367" spans="1:120" ht="12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</row>
    <row r="368" spans="1:120" ht="12" customHeight="1" x14ac:dyDescent="0.25">
      <c r="A368" s="1"/>
      <c r="B368" s="1"/>
      <c r="C368" s="9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</row>
    <row r="369" spans="1:120" ht="12" customHeight="1" x14ac:dyDescent="0.25">
      <c r="A369" s="1"/>
      <c r="B369" s="1"/>
      <c r="C369" s="9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</row>
    <row r="370" spans="1:120" ht="12" customHeight="1" x14ac:dyDescent="0.25">
      <c r="A370" s="1"/>
      <c r="B370" s="1"/>
      <c r="C370" s="9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</row>
    <row r="371" spans="1:120" ht="12" customHeight="1" x14ac:dyDescent="0.25">
      <c r="A371" s="1"/>
      <c r="B371" s="1"/>
      <c r="C371" s="9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</row>
    <row r="372" spans="1:120" ht="12" customHeight="1" x14ac:dyDescent="0.25">
      <c r="A372" s="1"/>
      <c r="B372" s="1"/>
      <c r="C372" s="9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</row>
    <row r="373" spans="1:120" ht="12" customHeight="1" x14ac:dyDescent="0.25">
      <c r="A373" s="1"/>
      <c r="B373" s="1"/>
      <c r="C373" s="9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</row>
    <row r="374" spans="1:120" ht="12" customHeight="1" x14ac:dyDescent="0.25">
      <c r="A374" s="1"/>
      <c r="B374" s="1"/>
      <c r="C374" s="9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</row>
    <row r="375" spans="1:120" ht="12" customHeight="1" x14ac:dyDescent="0.25">
      <c r="A375" s="1"/>
      <c r="B375" s="1"/>
      <c r="C375" s="9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</row>
    <row r="376" spans="1:120" ht="12" customHeight="1" x14ac:dyDescent="0.25">
      <c r="A376" s="1"/>
      <c r="B376" s="1"/>
      <c r="C376" s="9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</row>
    <row r="377" spans="1:120" ht="12" customHeight="1" x14ac:dyDescent="0.25">
      <c r="A377" s="1"/>
      <c r="B377" s="1"/>
      <c r="C377" s="9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</row>
    <row r="378" spans="1:120" ht="12" customHeight="1" x14ac:dyDescent="0.25">
      <c r="A378" s="1"/>
      <c r="B378" s="1"/>
      <c r="C378" s="9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</row>
    <row r="379" spans="1:120" ht="12" customHeight="1" x14ac:dyDescent="0.25">
      <c r="A379" s="1"/>
      <c r="B379" s="1"/>
      <c r="C379" s="9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</row>
    <row r="380" spans="1:120" ht="12" customHeight="1" x14ac:dyDescent="0.25">
      <c r="A380" s="1"/>
      <c r="B380" s="1"/>
      <c r="C380" s="9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</row>
    <row r="381" spans="1:120" ht="12" customHeight="1" x14ac:dyDescent="0.25">
      <c r="A381" s="1"/>
      <c r="B381" s="1"/>
      <c r="C381" s="9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</row>
    <row r="382" spans="1:120" ht="12" customHeight="1" x14ac:dyDescent="0.25">
      <c r="A382" s="1"/>
      <c r="B382" s="1"/>
      <c r="C382" s="9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</row>
    <row r="383" spans="1:120" ht="12" customHeight="1" x14ac:dyDescent="0.25">
      <c r="A383" s="1"/>
      <c r="B383" s="1"/>
      <c r="C383" s="9"/>
      <c r="D383" s="1"/>
      <c r="E383" s="9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</row>
    <row r="384" spans="1:120" ht="12" customHeight="1" x14ac:dyDescent="0.25">
      <c r="A384" s="1"/>
      <c r="B384" s="1"/>
      <c r="C384" s="9"/>
      <c r="D384" s="1"/>
      <c r="E384" s="9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</row>
    <row r="385" spans="1:120" ht="12" customHeight="1" x14ac:dyDescent="0.25">
      <c r="A385" s="1"/>
      <c r="B385" s="1"/>
      <c r="C385" s="9"/>
      <c r="D385" s="1"/>
      <c r="E385" s="9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</row>
    <row r="386" spans="1:120" ht="12" customHeight="1" x14ac:dyDescent="0.25">
      <c r="A386" s="1"/>
      <c r="B386" s="1"/>
      <c r="C386" s="9"/>
      <c r="D386" s="1"/>
      <c r="E386" s="9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</row>
    <row r="387" spans="1:120" ht="12" customHeight="1" x14ac:dyDescent="0.25">
      <c r="A387" s="1"/>
      <c r="B387" s="1"/>
      <c r="C387" s="9"/>
      <c r="D387" s="1"/>
      <c r="E387" s="9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</row>
    <row r="388" spans="1:120" ht="12" customHeight="1" x14ac:dyDescent="0.25">
      <c r="A388" s="1"/>
      <c r="B388" s="1"/>
      <c r="C388" s="9"/>
      <c r="D388" s="1"/>
      <c r="E388" s="9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</row>
    <row r="389" spans="1:120" ht="12" customHeight="1" x14ac:dyDescent="0.25">
      <c r="A389" s="1"/>
      <c r="B389" s="1"/>
      <c r="C389" s="9"/>
      <c r="D389" s="1"/>
      <c r="E389" s="9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</row>
    <row r="390" spans="1:120" ht="12" customHeight="1" x14ac:dyDescent="0.25">
      <c r="A390" s="1"/>
      <c r="B390" s="1"/>
      <c r="C390" s="9"/>
      <c r="D390" s="1"/>
      <c r="E390" s="9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</row>
    <row r="391" spans="1:120" ht="12" customHeight="1" x14ac:dyDescent="0.25">
      <c r="A391" s="1"/>
      <c r="B391" s="1"/>
      <c r="C391" s="9"/>
      <c r="D391" s="1"/>
      <c r="E391" s="9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</row>
    <row r="392" spans="1:120" ht="12" customHeight="1" x14ac:dyDescent="0.25">
      <c r="A392" s="1"/>
      <c r="B392" s="1"/>
      <c r="C392" s="9"/>
      <c r="D392" s="1"/>
      <c r="E392" s="9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</row>
    <row r="393" spans="1:120" ht="12" customHeight="1" x14ac:dyDescent="0.25">
      <c r="A393" s="1"/>
      <c r="B393" s="1"/>
      <c r="C393" s="9"/>
      <c r="D393" s="1"/>
      <c r="E393" s="9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</row>
    <row r="394" spans="1:120" ht="12" customHeight="1" x14ac:dyDescent="0.25">
      <c r="A394" s="1"/>
      <c r="B394" s="1"/>
      <c r="C394" s="9"/>
      <c r="D394" s="1"/>
      <c r="E394" s="9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</row>
    <row r="395" spans="1:120" ht="12" customHeight="1" x14ac:dyDescent="0.25">
      <c r="A395" s="1"/>
      <c r="B395" s="1"/>
      <c r="C395" s="9"/>
      <c r="D395" s="1"/>
      <c r="E395" s="9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</row>
    <row r="396" spans="1:120" ht="12" customHeight="1" x14ac:dyDescent="0.25">
      <c r="A396" s="1"/>
      <c r="B396" s="1"/>
      <c r="C396" s="9"/>
      <c r="D396" s="1"/>
      <c r="E396" s="9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</row>
    <row r="397" spans="1:120" ht="12" customHeight="1" x14ac:dyDescent="0.25">
      <c r="A397" s="1"/>
      <c r="B397" s="1"/>
      <c r="C397" s="9"/>
      <c r="D397" s="1"/>
      <c r="E397" s="9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</row>
    <row r="398" spans="1:120" ht="12" customHeight="1" x14ac:dyDescent="0.25">
      <c r="A398" s="1"/>
      <c r="B398" s="1"/>
      <c r="C398" s="9"/>
      <c r="D398" s="1"/>
      <c r="E398" s="9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</row>
    <row r="399" spans="1:120" ht="12" customHeight="1" x14ac:dyDescent="0.25">
      <c r="A399" s="1"/>
      <c r="B399" s="1"/>
      <c r="C399" s="9"/>
      <c r="D399" s="1"/>
      <c r="E399" s="9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</row>
    <row r="400" spans="1:120" ht="12" customHeight="1" x14ac:dyDescent="0.25">
      <c r="A400" s="1"/>
      <c r="B400" s="1"/>
      <c r="C400" s="9"/>
      <c r="D400" s="1"/>
      <c r="E400" s="9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</row>
    <row r="401" spans="1:120" ht="12" customHeight="1" x14ac:dyDescent="0.25">
      <c r="A401" s="1"/>
      <c r="B401" s="1"/>
      <c r="C401" s="9"/>
      <c r="D401" s="1"/>
      <c r="E401" s="9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</row>
    <row r="402" spans="1:120" ht="12" customHeight="1" x14ac:dyDescent="0.25">
      <c r="A402" s="1"/>
      <c r="B402" s="1"/>
      <c r="C402" s="9"/>
      <c r="D402" s="1"/>
      <c r="E402" s="9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</row>
    <row r="403" spans="1:120" ht="12" customHeight="1" x14ac:dyDescent="0.25">
      <c r="A403" s="1"/>
      <c r="B403" s="1"/>
      <c r="C403" s="9"/>
      <c r="D403" s="1"/>
      <c r="E403" s="9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</row>
    <row r="404" spans="1:120" ht="12" customHeight="1" x14ac:dyDescent="0.25">
      <c r="A404" s="1"/>
      <c r="B404" s="1"/>
      <c r="C404" s="9"/>
      <c r="D404" s="1"/>
      <c r="E404" s="9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</row>
    <row r="405" spans="1:120" ht="12" customHeight="1" x14ac:dyDescent="0.25">
      <c r="A405" s="1"/>
      <c r="B405" s="1"/>
      <c r="C405" s="9"/>
      <c r="D405" s="1"/>
      <c r="E405" s="9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</row>
    <row r="406" spans="1:120" ht="12" customHeight="1" x14ac:dyDescent="0.25">
      <c r="A406" s="1"/>
      <c r="B406" s="1"/>
      <c r="C406" s="9"/>
      <c r="D406" s="1"/>
      <c r="E406" s="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</row>
    <row r="407" spans="1:120" ht="12" customHeight="1" x14ac:dyDescent="0.25">
      <c r="A407" s="1"/>
      <c r="B407" s="1"/>
      <c r="C407" s="9"/>
      <c r="D407" s="1"/>
      <c r="E407" s="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</row>
    <row r="408" spans="1:120" ht="12" customHeight="1" x14ac:dyDescent="0.25">
      <c r="A408" s="1"/>
      <c r="B408" s="1"/>
      <c r="C408" s="9"/>
      <c r="D408" s="1"/>
      <c r="E408" s="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</row>
    <row r="409" spans="1:120" ht="12" customHeight="1" x14ac:dyDescent="0.25">
      <c r="A409" s="1"/>
      <c r="B409" s="1"/>
      <c r="C409" s="9"/>
      <c r="D409" s="1"/>
      <c r="E409" s="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</row>
    <row r="410" spans="1:120" ht="12" customHeight="1" x14ac:dyDescent="0.25">
      <c r="A410" s="1"/>
      <c r="B410" s="1"/>
      <c r="C410" s="9"/>
      <c r="D410" s="1"/>
      <c r="E410" s="9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</row>
    <row r="411" spans="1:120" ht="12" customHeight="1" x14ac:dyDescent="0.25">
      <c r="A411" s="1"/>
      <c r="B411" s="1"/>
      <c r="C411" s="9"/>
      <c r="D411" s="1"/>
      <c r="E411" s="9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</row>
    <row r="412" spans="1:120" ht="12" customHeight="1" x14ac:dyDescent="0.25">
      <c r="A412" s="1"/>
      <c r="B412" s="1"/>
      <c r="C412" s="9"/>
      <c r="D412" s="1"/>
      <c r="E412" s="9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</row>
    <row r="413" spans="1:120" ht="12" customHeight="1" x14ac:dyDescent="0.25">
      <c r="A413" s="1"/>
      <c r="B413" s="1"/>
      <c r="C413" s="9"/>
      <c r="D413" s="1"/>
      <c r="E413" s="9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</row>
    <row r="414" spans="1:120" ht="12" customHeight="1" x14ac:dyDescent="0.25">
      <c r="A414" s="1"/>
      <c r="B414" s="1"/>
      <c r="C414" s="9"/>
      <c r="D414" s="1"/>
      <c r="E414" s="9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</row>
    <row r="415" spans="1:120" ht="12" customHeight="1" x14ac:dyDescent="0.25">
      <c r="A415" s="1"/>
      <c r="B415" s="1"/>
      <c r="C415" s="9"/>
      <c r="D415" s="1"/>
      <c r="E415" s="9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</row>
    <row r="416" spans="1:120" ht="12" customHeight="1" x14ac:dyDescent="0.25">
      <c r="A416" s="1"/>
      <c r="B416" s="1"/>
      <c r="C416" s="9"/>
      <c r="D416" s="1"/>
      <c r="E416" s="9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</row>
    <row r="417" spans="1:120" ht="12" customHeight="1" x14ac:dyDescent="0.25">
      <c r="A417" s="1"/>
      <c r="B417" s="1"/>
      <c r="C417" s="9"/>
      <c r="D417" s="1"/>
      <c r="E417" s="9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</row>
    <row r="418" spans="1:120" ht="12" customHeight="1" x14ac:dyDescent="0.25">
      <c r="A418" s="1"/>
      <c r="B418" s="1"/>
      <c r="C418" s="9"/>
      <c r="D418" s="1"/>
      <c r="E418" s="9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</row>
    <row r="419" spans="1:120" ht="12" customHeight="1" x14ac:dyDescent="0.25">
      <c r="A419" s="1"/>
      <c r="B419" s="1"/>
      <c r="C419" s="9"/>
      <c r="D419" s="1"/>
      <c r="E419" s="9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</row>
    <row r="420" spans="1:120" ht="12" customHeight="1" x14ac:dyDescent="0.25">
      <c r="A420" s="1"/>
      <c r="B420" s="1"/>
      <c r="C420" s="9"/>
      <c r="D420" s="1"/>
      <c r="E420" s="9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</row>
    <row r="421" spans="1:120" ht="12" customHeight="1" x14ac:dyDescent="0.25">
      <c r="A421" s="1"/>
      <c r="B421" s="1"/>
      <c r="C421" s="9"/>
      <c r="D421" s="1"/>
      <c r="E421" s="9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</row>
    <row r="422" spans="1:120" ht="12" customHeight="1" x14ac:dyDescent="0.25">
      <c r="A422" s="1"/>
      <c r="B422" s="1"/>
      <c r="C422" s="9"/>
      <c r="D422" s="1"/>
      <c r="E422" s="9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</row>
    <row r="423" spans="1:120" ht="12" customHeight="1" x14ac:dyDescent="0.25">
      <c r="A423" s="1"/>
      <c r="B423" s="1"/>
      <c r="C423" s="9"/>
      <c r="D423" s="1"/>
      <c r="E423" s="9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</row>
    <row r="424" spans="1:120" ht="12" customHeight="1" x14ac:dyDescent="0.25">
      <c r="C424" s="9"/>
      <c r="D424" s="1"/>
      <c r="E424" s="9"/>
      <c r="F424" s="1"/>
      <c r="S424" s="1"/>
      <c r="T424" s="1"/>
      <c r="U424" s="1"/>
      <c r="V424" s="1"/>
      <c r="W424" s="1"/>
      <c r="X424" s="1"/>
      <c r="Y424" s="1"/>
      <c r="Z424" s="1"/>
    </row>
    <row r="425" spans="1:120" ht="12" customHeight="1" x14ac:dyDescent="0.25">
      <c r="C425" s="9"/>
      <c r="D425" s="1"/>
      <c r="E425" s="9"/>
      <c r="F425" s="1"/>
      <c r="S425" s="1"/>
      <c r="T425" s="1"/>
      <c r="U425" s="1"/>
      <c r="V425" s="1"/>
      <c r="W425" s="1"/>
      <c r="X425" s="1"/>
      <c r="Y425" s="1"/>
      <c r="Z425" s="1"/>
    </row>
    <row r="426" spans="1:120" ht="12" customHeight="1" x14ac:dyDescent="0.25">
      <c r="C426" s="9"/>
      <c r="D426" s="1"/>
      <c r="E426" s="9"/>
      <c r="F426" s="1"/>
      <c r="S426" s="1"/>
      <c r="T426" s="1"/>
      <c r="U426" s="1"/>
      <c r="V426" s="1"/>
      <c r="W426" s="1"/>
      <c r="X426" s="1"/>
      <c r="Y426" s="1"/>
      <c r="Z426" s="1"/>
    </row>
    <row r="427" spans="1:120" ht="12" customHeight="1" x14ac:dyDescent="0.25">
      <c r="C427" s="9"/>
      <c r="D427" s="1"/>
      <c r="E427" s="9"/>
      <c r="F427" s="1"/>
    </row>
    <row r="428" spans="1:120" ht="12" customHeight="1" x14ac:dyDescent="0.25">
      <c r="D428" s="1"/>
      <c r="E428" s="9"/>
      <c r="F428" s="1"/>
    </row>
    <row r="429" spans="1:120" ht="12" customHeight="1" x14ac:dyDescent="0.25">
      <c r="D429" s="1"/>
      <c r="E429" s="9"/>
      <c r="F429" s="1"/>
    </row>
    <row r="430" spans="1:120" ht="12" customHeight="1" x14ac:dyDescent="0.25">
      <c r="D430" s="1"/>
      <c r="E430" s="9"/>
      <c r="F430" s="1"/>
    </row>
    <row r="431" spans="1:120" ht="12" customHeight="1" x14ac:dyDescent="0.25">
      <c r="D431" s="1"/>
      <c r="E431" s="9"/>
      <c r="F431" s="1"/>
    </row>
    <row r="432" spans="1:120" ht="12" customHeight="1" x14ac:dyDescent="0.25">
      <c r="D432" s="1"/>
      <c r="E432" s="9"/>
      <c r="F432" s="1"/>
    </row>
    <row r="433" spans="4:6" ht="12" customHeight="1" x14ac:dyDescent="0.25">
      <c r="D433" s="1"/>
      <c r="E433" s="9"/>
      <c r="F433" s="1"/>
    </row>
    <row r="434" spans="4:6" ht="12" customHeight="1" x14ac:dyDescent="0.25">
      <c r="D434" s="1"/>
      <c r="E434" s="9"/>
      <c r="F434" s="1"/>
    </row>
    <row r="435" spans="4:6" ht="12" customHeight="1" x14ac:dyDescent="0.25">
      <c r="D435" s="1"/>
      <c r="E435" s="9"/>
    </row>
    <row r="436" spans="4:6" ht="12" customHeight="1" x14ac:dyDescent="0.25">
      <c r="D436" s="1"/>
      <c r="E436" s="9"/>
    </row>
    <row r="437" spans="4:6" ht="12" customHeight="1" x14ac:dyDescent="0.25">
      <c r="D437" s="1"/>
      <c r="E437" s="9"/>
    </row>
    <row r="438" spans="4:6" ht="12" customHeight="1" x14ac:dyDescent="0.25">
      <c r="D438" s="1"/>
      <c r="E438" s="9"/>
    </row>
    <row r="439" spans="4:6" ht="12" customHeight="1" x14ac:dyDescent="0.25">
      <c r="D439" s="1"/>
      <c r="E439" s="9"/>
    </row>
    <row r="440" spans="4:6" ht="12" customHeight="1" x14ac:dyDescent="0.25">
      <c r="D440" s="1"/>
      <c r="E440" s="9"/>
    </row>
    <row r="441" spans="4:6" ht="12" customHeight="1" x14ac:dyDescent="0.25">
      <c r="D441" s="1"/>
      <c r="E441" s="9"/>
    </row>
    <row r="442" spans="4:6" ht="12" customHeight="1" x14ac:dyDescent="0.25">
      <c r="D442" s="1"/>
      <c r="E442" s="9"/>
    </row>
  </sheetData>
  <sortState xmlns:xlrd2="http://schemas.microsoft.com/office/spreadsheetml/2017/richdata2" ref="AC18:AC32">
    <sortCondition ref="AC17"/>
  </sortState>
  <dataConsolidate/>
  <mergeCells count="4">
    <mergeCell ref="B2:BE6"/>
    <mergeCell ref="C12:Q12"/>
    <mergeCell ref="S12:Z12"/>
    <mergeCell ref="AB12:BD12"/>
  </mergeCells>
  <conditionalFormatting sqref="E34 E44 E39">
    <cfRule type="cellIs" dxfId="55" priority="77" operator="equal">
      <formula>"Yes"</formula>
    </cfRule>
  </conditionalFormatting>
  <conditionalFormatting sqref="D31:E31">
    <cfRule type="expression" dxfId="54" priority="67" stopIfTrue="1">
      <formula>OR(Product_Type&lt;&gt;"Equities SingleName",AND(Enable_FVA&lt;&gt;"Yes",Enable_Default_K&lt;&gt;"Yes",Enable_CVA_K&lt;&gt;"Yes"))</formula>
    </cfRule>
  </conditionalFormatting>
  <conditionalFormatting sqref="D35:E35">
    <cfRule type="expression" dxfId="53" priority="66" stopIfTrue="1">
      <formula>Enable_FVA="No"</formula>
    </cfRule>
  </conditionalFormatting>
  <conditionalFormatting sqref="E35 E31 E69">
    <cfRule type="cellIs" dxfId="52" priority="68" stopIfTrue="1" operator="equal">
      <formula>"Yes"</formula>
    </cfRule>
  </conditionalFormatting>
  <conditionalFormatting sqref="D42:E42">
    <cfRule type="expression" dxfId="51" priority="83">
      <formula>Exposure_Class&lt;&gt;"Retail Other Non-SME"</formula>
    </cfRule>
  </conditionalFormatting>
  <conditionalFormatting sqref="D60:E60">
    <cfRule type="expression" dxfId="50" priority="61" stopIfTrue="1">
      <formula>AND(Product_Type&lt;&gt;"Others Commodities",Product_Type&lt;&gt;"Agriculture",Product_Type&lt;&gt;"Metals",Product_Type&lt;&gt;"Gold",Product_Type&lt;&gt;"Oil/Gas",Product_Type&lt;&gt;"Electricity")</formula>
    </cfRule>
  </conditionalFormatting>
  <conditionalFormatting sqref="E60">
    <cfRule type="cellIs" dxfId="49" priority="62" operator="equal">
      <formula>"Yes"</formula>
    </cfRule>
  </conditionalFormatting>
  <conditionalFormatting sqref="D93:E93">
    <cfRule type="expression" dxfId="48" priority="58" stopIfTrue="1">
      <formula>AND(Product_Type&lt;&gt;"Others Commodities",Product_Type&lt;&gt;"Agriculture",Product_Type&lt;&gt;"Metals",Product_Type&lt;&gt;"Gold",Product_Type&lt;&gt;"Oil/Gas",Product_Type&lt;&gt;"Electricity")</formula>
    </cfRule>
    <cfRule type="expression" dxfId="47" priority="59">
      <formula>Is_RWR_Commodity&lt;&gt;"Yes"</formula>
    </cfRule>
  </conditionalFormatting>
  <conditionalFormatting sqref="E93">
    <cfRule type="cellIs" dxfId="46" priority="60" operator="equal">
      <formula>"Yes"</formula>
    </cfRule>
  </conditionalFormatting>
  <conditionalFormatting sqref="D62:E62">
    <cfRule type="expression" dxfId="45" priority="56">
      <formula>Is_RWR_Commodity&lt;&gt;"Yes"</formula>
    </cfRule>
  </conditionalFormatting>
  <conditionalFormatting sqref="E62">
    <cfRule type="cellIs" dxfId="44" priority="57" operator="equal">
      <formula>"Yes"</formula>
    </cfRule>
  </conditionalFormatting>
  <conditionalFormatting sqref="D61:E61">
    <cfRule type="expression" dxfId="43" priority="53" stopIfTrue="1">
      <formula>OR(Capital_Approach="SA-CCR",AND(Product_Type&lt;&gt;"Others Commodities",Product_Type&lt;&gt;"Agriculture",Product_Type&lt;&gt;"Metals",Product_Type&lt;&gt;"Gold",Product_Type&lt;&gt;"Oil/Gas",Product_Type&lt;&gt;"Electricity"))</formula>
    </cfRule>
    <cfRule type="expression" dxfId="42" priority="54">
      <formula>Is_RWR_Commodity&lt;&gt;"Yes"</formula>
    </cfRule>
  </conditionalFormatting>
  <conditionalFormatting sqref="E61">
    <cfRule type="cellIs" dxfId="41" priority="55" operator="equal">
      <formula>"Yes"</formula>
    </cfRule>
  </conditionalFormatting>
  <conditionalFormatting sqref="D92:E92">
    <cfRule type="expression" dxfId="40" priority="49" stopIfTrue="1">
      <formula>AND(Product_Type&lt;&gt;"Others Commodities",Product_Type&lt;&gt;"Agriculture",Product_Type&lt;&gt;"Metals",Product_Type&lt;&gt;"Gold",Product_Type&lt;&gt;"Oil/Gas",Product_Type&lt;&gt;"Electricity")</formula>
    </cfRule>
    <cfRule type="expression" dxfId="39" priority="50">
      <formula>Is_RWR_Commodity&lt;&gt;"Yes"</formula>
    </cfRule>
  </conditionalFormatting>
  <conditionalFormatting sqref="E92">
    <cfRule type="cellIs" dxfId="38" priority="51" operator="equal">
      <formula>"Yes"</formula>
    </cfRule>
  </conditionalFormatting>
  <conditionalFormatting sqref="D60:E62">
    <cfRule type="expression" dxfId="37" priority="52" stopIfTrue="1">
      <formula>OR(Capital_Approach="SA-CCR",AND(Product_Type&lt;&gt;"Others Commodities",Product_Type&lt;&gt;"Agriculture",Product_Type&lt;&gt;"Metals",Product_Type&lt;&gt;"Gold",Product_Type&lt;&gt;"Oil/Gas",Product_Type&lt;&gt;"Electricity"))</formula>
    </cfRule>
  </conditionalFormatting>
  <conditionalFormatting sqref="E58">
    <cfRule type="cellIs" dxfId="36" priority="48" operator="equal">
      <formula>"Yes"</formula>
    </cfRule>
  </conditionalFormatting>
  <conditionalFormatting sqref="E51">
    <cfRule type="cellIs" dxfId="35" priority="46" operator="equal">
      <formula>"Yes"</formula>
    </cfRule>
  </conditionalFormatting>
  <conditionalFormatting sqref="D40:E40">
    <cfRule type="expression" dxfId="34" priority="82">
      <formula>Enable_Default_K&lt;&gt;"Yes"</formula>
    </cfRule>
  </conditionalFormatting>
  <conditionalFormatting sqref="D41:E42">
    <cfRule type="expression" dxfId="33" priority="71" stopIfTrue="1">
      <formula>Enable_Default_K&lt;&gt;"Yes"</formula>
    </cfRule>
  </conditionalFormatting>
  <conditionalFormatting sqref="D45:E45">
    <cfRule type="expression" dxfId="32" priority="86">
      <formula>Enable_CVA_K&lt;&gt;"Yes"</formula>
    </cfRule>
  </conditionalFormatting>
  <conditionalFormatting sqref="J17:J240">
    <cfRule type="expression" dxfId="31" priority="40">
      <formula>OR(Is_RWR_Commodity&lt;&gt;"Yes",AND(Product_Type&lt;&gt;"Others Commodities",Product_Type&lt;&gt;"Agriculture",Product_Type&lt;&gt;"Metals",Product_Type&lt;&gt;"Gold",Product_Type&lt;&gt;"Oil/Gas",Product_Type&lt;&gt;"Electricity"))</formula>
    </cfRule>
  </conditionalFormatting>
  <conditionalFormatting sqref="D52:E53">
    <cfRule type="expression" dxfId="30" priority="37">
      <formula>Is_CSA&lt;&gt;"Yes"</formula>
    </cfRule>
  </conditionalFormatting>
  <conditionalFormatting sqref="D52:E52">
    <cfRule type="expression" dxfId="29" priority="36">
      <formula>Is_CSA&lt;&gt;"Yes"</formula>
    </cfRule>
  </conditionalFormatting>
  <conditionalFormatting sqref="D74:E74 D51:E53 D55:E72">
    <cfRule type="expression" dxfId="28" priority="11" stopIfTrue="1">
      <formula>OR(AND(Enable_Default_K&lt;&gt;"Yes",Enable_CVA_K&lt;&gt;"Yes"),AND(Product_Type="Equities SingleName",Is_WWR_Equity="Yes"))</formula>
    </cfRule>
  </conditionalFormatting>
  <conditionalFormatting sqref="D74:E74 D65:E72">
    <cfRule type="expression" dxfId="27" priority="29" stopIfTrue="1">
      <formula>Capital_Approach&lt;&gt;"SA-CCR"</formula>
    </cfRule>
  </conditionalFormatting>
  <conditionalFormatting sqref="D70:E72">
    <cfRule type="expression" dxfId="26" priority="35">
      <formula>Is_Option&lt;&gt;"Yes"</formula>
    </cfRule>
  </conditionalFormatting>
  <conditionalFormatting sqref="D70:E70">
    <cfRule type="expression" dxfId="25" priority="33">
      <formula>Is_Option&lt;&gt;"Yes"</formula>
    </cfRule>
  </conditionalFormatting>
  <conditionalFormatting sqref="D64">
    <cfRule type="expression" dxfId="24" priority="28" stopIfTrue="1">
      <formula>AND(Capital_Approach&lt;&gt;"SA-CCR",Capital_Approach&lt;&gt;"CEM")</formula>
    </cfRule>
    <cfRule type="expression" dxfId="23" priority="34">
      <formula>Capital_Approach&lt;&gt;"CEM"</formula>
    </cfRule>
  </conditionalFormatting>
  <conditionalFormatting sqref="D74:E74">
    <cfRule type="expression" dxfId="22" priority="30">
      <formula>Capital_Approach="CEM"</formula>
    </cfRule>
  </conditionalFormatting>
  <conditionalFormatting sqref="D48:E48">
    <cfRule type="expression" dxfId="21" priority="27">
      <formula>AND(Enable_Default_K&lt;&gt;"Yes",Enable_CVA_K&lt;&gt;"Yes")</formula>
    </cfRule>
  </conditionalFormatting>
  <conditionalFormatting sqref="D34:E35">
    <cfRule type="expression" dxfId="20" priority="26">
      <formula>AND(Product_Type="Equities SingleName",Is_WWR_Equity="Yes")</formula>
    </cfRule>
  </conditionalFormatting>
  <conditionalFormatting sqref="D73:E73">
    <cfRule type="expression" dxfId="19" priority="24" stopIfTrue="1">
      <formula>OR(AND(Enable_Default_K&lt;&gt;"Yes",Enable_CVA_K&lt;&gt;"Yes"),AND(Product_Type="Equities SingleName",Is_WWR_Equity="Yes"))</formula>
    </cfRule>
  </conditionalFormatting>
  <conditionalFormatting sqref="D73:E73">
    <cfRule type="expression" dxfId="18" priority="25" stopIfTrue="1">
      <formula>Capital_Approach&lt;&gt;"SA-CCR"</formula>
    </cfRule>
  </conditionalFormatting>
  <conditionalFormatting sqref="E68">
    <cfRule type="expression" dxfId="17" priority="19" stopIfTrue="1">
      <formula>Enable_FVA="No"</formula>
    </cfRule>
  </conditionalFormatting>
  <conditionalFormatting sqref="E68">
    <cfRule type="cellIs" dxfId="16" priority="20" stopIfTrue="1" operator="equal">
      <formula>"Yes"</formula>
    </cfRule>
  </conditionalFormatting>
  <conditionalFormatting sqref="E68">
    <cfRule type="expression" dxfId="15" priority="18">
      <formula>AND(Product_Type="Equities SingleName",Is_WWR_Equity="Yes")</formula>
    </cfRule>
  </conditionalFormatting>
  <conditionalFormatting sqref="W41">
    <cfRule type="cellIs" dxfId="14" priority="13" operator="equal">
      <formula>"-"</formula>
    </cfRule>
    <cfRule type="cellIs" dxfId="13" priority="14" operator="greaterThan">
      <formula>0</formula>
    </cfRule>
  </conditionalFormatting>
  <conditionalFormatting sqref="V41:W41">
    <cfRule type="expression" dxfId="12" priority="12">
      <formula>OR($AS$18="",$AQ$18="",Capital_Approach="CEM")</formula>
    </cfRule>
  </conditionalFormatting>
  <conditionalFormatting sqref="D51:E53 D55:E55">
    <cfRule type="expression" dxfId="11" priority="10" stopIfTrue="1">
      <formula>AND(Capital_Approach&lt;&gt;"CEM",Capital_Approach&lt;&gt;"SA-CCR")</formula>
    </cfRule>
  </conditionalFormatting>
  <conditionalFormatting sqref="E39 E44">
    <cfRule type="cellIs" dxfId="10" priority="9" operator="equal">
      <formula>"/!\ Custom Profile used /!\"</formula>
    </cfRule>
  </conditionalFormatting>
  <conditionalFormatting sqref="AQ18:AQ107">
    <cfRule type="expression" dxfId="9" priority="8">
      <formula>Enable_Default_K="/!\ Custom Profile used /!\"</formula>
    </cfRule>
  </conditionalFormatting>
  <conditionalFormatting sqref="AS18:AS107">
    <cfRule type="expression" dxfId="8" priority="7">
      <formula>Enable_CVA_K="/!\ Custom Profile used /!\"</formula>
    </cfRule>
  </conditionalFormatting>
  <conditionalFormatting sqref="V42">
    <cfRule type="expression" dxfId="7" priority="4">
      <formula>OR($AS$18="",$AQ$18="",Capital_Approach="CEM")</formula>
    </cfRule>
  </conditionalFormatting>
  <conditionalFormatting sqref="W42">
    <cfRule type="cellIs" dxfId="6" priority="2" operator="equal">
      <formula>"-"</formula>
    </cfRule>
  </conditionalFormatting>
  <conditionalFormatting sqref="W42">
    <cfRule type="expression" dxfId="5" priority="1">
      <formula>OR($AS$18="",$AQ$18="",Capital_Approach="CEM")</formula>
    </cfRule>
  </conditionalFormatting>
  <dataValidations count="19">
    <dataValidation type="decimal" operator="greaterThanOrEqual" allowBlank="1" showInputMessage="1" showErrorMessage="1" sqref="E42" xr:uid="{00000000-0002-0000-0000-000000000000}">
      <formula1>0</formula1>
    </dataValidation>
    <dataValidation type="decimal" operator="notEqual" allowBlank="1" showInputMessage="1" showErrorMessage="1" sqref="E48" xr:uid="{00000000-0002-0000-0000-000001000000}">
      <formula1>0.222222222245412</formula1>
    </dataValidation>
    <dataValidation type="date" operator="greaterThan" allowBlank="1" showInputMessage="1" showErrorMessage="1" sqref="E15" xr:uid="{00000000-0002-0000-0000-000002000000}">
      <formula1>1</formula1>
    </dataValidation>
    <dataValidation type="list" operator="notEqual" allowBlank="1" showInputMessage="1" showErrorMessage="1" sqref="E34:E35 E44 E39 E51 E68:E69" xr:uid="{00000000-0002-0000-0000-000003000000}">
      <formula1>"Yes, No"</formula1>
    </dataValidation>
    <dataValidation type="decimal" allowBlank="1" showInputMessage="1" showErrorMessage="1" sqref="E27 E93 E45:E46" xr:uid="{00000000-0002-0000-0000-000004000000}">
      <formula1>0</formula1>
      <formula2>1</formula2>
    </dataValidation>
    <dataValidation type="date" allowBlank="1" showInputMessage="1" showErrorMessage="1" errorTitle="Error" error="Last Expiry date must be _x000a_- in the future_x000a_- prior to Maturity date" sqref="E72" xr:uid="{00000000-0002-0000-0000-000005000000}">
      <formula1>AsOfDate</formula1>
      <formula2>Maturity</formula2>
    </dataValidation>
    <dataValidation type="date" operator="greaterThanOrEqual" allowBlank="1" showInputMessage="1" showErrorMessage="1" errorTitle="Error" error="Maturity must be a future date" sqref="E23" xr:uid="{00000000-0002-0000-0000-000006000000}">
      <formula1>E16</formula1>
    </dataValidation>
    <dataValidation type="list" allowBlank="1" showInputMessage="1" showErrorMessage="1" sqref="H15" xr:uid="{00000000-0002-0000-0000-000007000000}">
      <formula1>"CCY of the trade, EUR"</formula1>
    </dataValidation>
    <dataValidation type="list" allowBlank="1" showInputMessage="1" showErrorMessage="1" sqref="E60 E31" xr:uid="{00000000-0002-0000-0000-000008000000}">
      <formula1>"Yes, No"</formula1>
    </dataValidation>
    <dataValidation type="date" operator="greaterThanOrEqual" allowBlank="1" showInputMessage="1" showErrorMessage="1" errorTitle="Error" error="Maturity must be a future date" sqref="E18 E66:E68" xr:uid="{8811A9A8-C26B-4DB8-8203-9E0A4080D04B}">
      <formula1>AsOfDate</formula1>
    </dataValidation>
    <dataValidation type="decimal" operator="greaterThan" allowBlank="1" showInputMessage="1" showErrorMessage="1" error="Moneyness must be a positive number!" sqref="E71" xr:uid="{AC5AB42A-3759-48E1-9E78-2433A42FBC44}">
      <formula1>0</formula1>
    </dataValidation>
    <dataValidation type="list" allowBlank="1" showInputMessage="1" showErrorMessage="1" sqref="E70" xr:uid="{F4D4C149-488E-4F27-B51B-7D8CD046F42B}">
      <formula1>"Call, Put"</formula1>
    </dataValidation>
    <dataValidation type="whole" operator="greaterThanOrEqual" allowBlank="1" showInputMessage="1" showErrorMessage="1" error="Margining Frequency to be floored by MPOR of 10 business days" sqref="E52" xr:uid="{54B8AE1C-58BE-4BCA-808B-B687FE81E09D}">
      <formula1>10</formula1>
    </dataValidation>
    <dataValidation type="list" operator="notEqual" allowBlank="1" showInputMessage="1" showErrorMessage="1" sqref="E59:E60" xr:uid="{7121CAE6-9533-4123-AE13-B745CF167480}">
      <formula1>"CEM, SA-CCR"</formula1>
    </dataValidation>
    <dataValidation type="list" operator="notEqual" allowBlank="1" showInputMessage="1" showErrorMessage="1" sqref="E59:E60" xr:uid="{EFD63465-E2B5-4724-A1B2-CB41C5604F33}">
      <formula1>"CEM, SA-CCR, IMM"</formula1>
    </dataValidation>
    <dataValidation type="list" operator="notEqual" allowBlank="1" showInputMessage="1" showErrorMessage="1" sqref="E58" xr:uid="{4B82C543-EEE6-47C2-B717-F68235D2345C}">
      <formula1>"CEM, SA-CCR, IMM (proxy)"</formula1>
    </dataValidation>
    <dataValidation type="list" operator="notEqual" allowBlank="1" showInputMessage="1" showErrorMessage="1" sqref="E58" xr:uid="{172823A7-DD3D-48D5-A4C6-07189A40297A}">
      <formula1>"CEM, SA-CCR, IMM proxy"</formula1>
    </dataValidation>
    <dataValidation type="list" operator="notEqual" allowBlank="1" showInputMessage="1" showErrorMessage="1" sqref="E62" xr:uid="{649C40DF-90D1-4ED2-ACD8-6C5DF5E8368D}">
      <formula1>"Daily, Monthly, Quarterly, Semiannual, Annual"</formula1>
    </dataValidation>
    <dataValidation type="list" operator="notEqual" allowBlank="1" showInputMessage="1" showErrorMessage="1" sqref="E62" xr:uid="{4BC03278-679B-42B5-8445-853496B3410C}">
      <formula1>"Monthly, Quarterly, Semiannual, Annual"</formula1>
    </dataValidation>
  </dataValidations>
  <hyperlinks>
    <hyperlink ref="D74" r:id="rId1" xr:uid="{533A9568-831C-4ED7-927F-120A96C11075}"/>
    <hyperlink ref="D64" r:id="rId2" xr:uid="{491452DD-CCBA-4499-8468-E90AB9B02B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6" name="Check_Box_CustDefK_profile">
              <controlPr defaultSize="0" autoFill="0" autoLine="0" autoPict="0">
                <anchor moveWithCells="1" sizeWithCells="1">
                  <from>
                    <xdr:col>41</xdr:col>
                    <xdr:colOff>1009650</xdr:colOff>
                    <xdr:row>14</xdr:row>
                    <xdr:rowOff>28575</xdr:rowOff>
                  </from>
                  <to>
                    <xdr:col>42</xdr:col>
                    <xdr:colOff>857250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Check_Box_CustCvaK_profile">
              <controlPr defaultSize="0" autoFill="0" autoLine="0" autoPict="0">
                <anchor moveWithCells="1" sizeWithCells="1">
                  <from>
                    <xdr:col>43</xdr:col>
                    <xdr:colOff>914400</xdr:colOff>
                    <xdr:row>14</xdr:row>
                    <xdr:rowOff>28575</xdr:rowOff>
                  </from>
                  <to>
                    <xdr:col>44</xdr:col>
                    <xdr:colOff>866775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9000000}">
          <x14:formula1>
            <xm:f>Statics!$F$2:$F$2510</xm:f>
          </x14:formula1>
          <xm:sqref>E28</xm:sqref>
        </x14:dataValidation>
        <x14:dataValidation type="list" allowBlank="1" showInputMessage="1" showErrorMessage="1" xr:uid="{00000000-0002-0000-0000-00000B000000}">
          <x14:formula1>
            <xm:f>Statics!$L$4:$L$15</xm:f>
          </x14:formula1>
          <xm:sqref>E17</xm:sqref>
        </x14:dataValidation>
        <x14:dataValidation type="list" allowBlank="1" showInputMessage="1" showErrorMessage="1" xr:uid="{00000000-0002-0000-0000-00000D000000}">
          <x14:formula1>
            <xm:f>'RaceING FX'!$C$1:$C$194</xm:f>
          </x14:formula1>
          <xm:sqref>E19</xm:sqref>
        </x14:dataValidation>
        <x14:dataValidation type="list" allowBlank="1" showInputMessage="1" showErrorMessage="1" xr:uid="{00000000-0002-0000-0000-00000A000000}">
          <x14:formula1>
            <xm:f>Statics!$AC$2:$AC$29</xm:f>
          </x14:formula1>
          <xm:sqref>E40</xm:sqref>
        </x14:dataValidation>
        <x14:dataValidation type="list" allowBlank="1" showInputMessage="1" showErrorMessage="1" xr:uid="{00000000-0002-0000-0000-00000C000000}">
          <x14:formula1>
            <xm:f>Statics!$AJ$2:$AJ$5</xm:f>
          </x14:formula1>
          <xm:sqref>E41</xm:sqref>
        </x14:dataValidation>
        <x14:dataValidation type="list" allowBlank="1" showInputMessage="1" showErrorMessage="1" xr:uid="{00000000-0002-0000-0000-00000E000000}">
          <x14:formula1>
            <xm:f>Statics!$AN$2:$AN$6</xm:f>
          </x14:formula1>
          <xm:sqref>E62</xm:sqref>
        </x14:dataValidation>
        <x14:dataValidation type="list" allowBlank="1" showInputMessage="1" showErrorMessage="1" xr:uid="{00000000-0002-0000-0000-00000F000000}">
          <x14:formula1>
            <xm:f>Statics!$AP$2:$AP$252</xm:f>
          </x14:formula1>
          <xm:sqref>E61</xm:sqref>
        </x14:dataValidation>
        <x14:dataValidation type="list" allowBlank="1" showInputMessage="1" showErrorMessage="1" xr:uid="{012FEC2E-2FAB-4F31-982A-5FF33EB3282A}">
          <x14:formula1>
            <xm:f>'V:\Tools\Inception Tools\0_Quotes_archive\Kevin Pricings\2021-04-14\[CIC Calculator - alu collar.xlsm]Statics'!#REF!</xm:f>
          </x14:formula1>
          <xm:sqref>E77</xm:sqref>
        </x14:dataValidation>
        <x14:dataValidation type="list" operator="notEqual" allowBlank="1" showInputMessage="1" showErrorMessage="1" xr:uid="{C16A71CC-9F1D-4D14-B414-5A737E402E5C}">
          <x14:formula1>
            <xm:f>Statics!$AP$2:$AP$252</xm:f>
          </x14:formula1>
          <xm:sqref>E61 E61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</sheetPr>
  <dimension ref="A1:BH192"/>
  <sheetViews>
    <sheetView workbookViewId="0">
      <selection activeCell="Q12" sqref="Q12"/>
    </sheetView>
  </sheetViews>
  <sheetFormatPr defaultColWidth="9.140625" defaultRowHeight="15" outlineLevelCol="1" x14ac:dyDescent="0.25"/>
  <cols>
    <col min="1" max="1" width="10.85546875" style="216" customWidth="1"/>
    <col min="2" max="2" width="11.7109375" style="216" customWidth="1"/>
    <col min="3" max="3" width="16.5703125" style="216" customWidth="1"/>
    <col min="4" max="4" width="20.140625" style="216" bestFit="1" customWidth="1"/>
    <col min="5" max="5" width="17.42578125" style="217" bestFit="1" customWidth="1"/>
    <col min="6" max="6" width="13.85546875" style="216" customWidth="1"/>
    <col min="7" max="7" width="19" style="216" bestFit="1" customWidth="1"/>
    <col min="8" max="8" width="16.42578125" style="217" customWidth="1"/>
    <col min="9" max="9" width="26.42578125" style="216" bestFit="1" customWidth="1"/>
    <col min="10" max="10" width="18" style="216" customWidth="1"/>
    <col min="11" max="11" width="16.28515625" style="216" bestFit="1" customWidth="1"/>
    <col min="12" max="12" width="15.5703125" style="216" customWidth="1"/>
    <col min="13" max="16" width="12.5703125" style="216" customWidth="1"/>
    <col min="17" max="17" width="15.5703125" style="216" bestFit="1" customWidth="1"/>
    <col min="18" max="19" width="12.5703125" style="216" customWidth="1"/>
    <col min="20" max="20" width="27.7109375" style="217" customWidth="1"/>
    <col min="21" max="21" width="12.140625" style="216" customWidth="1"/>
    <col min="22" max="26" width="22.140625" style="217" customWidth="1" outlineLevel="1"/>
    <col min="27" max="27" width="23.28515625" style="217" customWidth="1" outlineLevel="1"/>
    <col min="28" max="28" width="22.140625" style="217" customWidth="1" outlineLevel="1"/>
    <col min="29" max="29" width="22.140625" style="217" customWidth="1"/>
    <col min="30" max="31" width="30.28515625" style="217" customWidth="1"/>
    <col min="32" max="16384" width="9.140625" style="216"/>
  </cols>
  <sheetData>
    <row r="1" spans="1:60" s="177" customFormat="1" ht="30.75" customHeight="1" x14ac:dyDescent="0.25">
      <c r="A1" s="177" t="s">
        <v>0</v>
      </c>
      <c r="B1" s="178" t="s">
        <v>40</v>
      </c>
      <c r="C1" s="230" t="s">
        <v>3233</v>
      </c>
      <c r="D1" s="247" t="s">
        <v>3240</v>
      </c>
      <c r="E1" s="220" t="s">
        <v>3193</v>
      </c>
      <c r="F1" s="219" t="s">
        <v>3226</v>
      </c>
      <c r="G1" s="219" t="s">
        <v>3228</v>
      </c>
      <c r="H1" s="228" t="s">
        <v>39</v>
      </c>
      <c r="I1" s="178" t="s">
        <v>3220</v>
      </c>
      <c r="J1" s="178" t="s">
        <v>41</v>
      </c>
      <c r="K1" s="228" t="s">
        <v>3223</v>
      </c>
      <c r="L1" s="247" t="s">
        <v>3239</v>
      </c>
      <c r="M1" s="232" t="s">
        <v>70</v>
      </c>
      <c r="N1" s="232" t="s">
        <v>71</v>
      </c>
      <c r="O1" s="232" t="s">
        <v>72</v>
      </c>
      <c r="P1" s="232" t="s">
        <v>73</v>
      </c>
      <c r="Q1" s="232" t="s">
        <v>74</v>
      </c>
      <c r="R1" s="232" t="s">
        <v>75</v>
      </c>
      <c r="S1" s="181" t="s">
        <v>67</v>
      </c>
      <c r="T1" s="231" t="s">
        <v>3215</v>
      </c>
      <c r="U1" s="179" t="s">
        <v>68</v>
      </c>
      <c r="V1" s="180" t="s">
        <v>33</v>
      </c>
      <c r="W1" s="180" t="s">
        <v>34</v>
      </c>
      <c r="X1" s="180" t="s">
        <v>35</v>
      </c>
      <c r="Y1" s="180" t="s">
        <v>2698</v>
      </c>
      <c r="Z1" s="180" t="s">
        <v>36</v>
      </c>
      <c r="AA1" s="180" t="s">
        <v>37</v>
      </c>
      <c r="AB1" s="180" t="s">
        <v>38</v>
      </c>
      <c r="AC1" s="182" t="s">
        <v>3191</v>
      </c>
      <c r="AD1" s="275" t="s">
        <v>3253</v>
      </c>
      <c r="AE1" s="275" t="s">
        <v>3255</v>
      </c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  <c r="BA1" s="242"/>
      <c r="BB1" s="242"/>
      <c r="BC1" s="242"/>
      <c r="BD1" s="242"/>
      <c r="BE1" s="242"/>
      <c r="BF1" s="242"/>
      <c r="BG1" s="242"/>
      <c r="BH1" s="242"/>
    </row>
    <row r="2" spans="1:60" customFormat="1" x14ac:dyDescent="0.25">
      <c r="A2" s="10">
        <f ca="1">AsOfDate</f>
        <v>44491</v>
      </c>
      <c r="B2" s="16" t="b">
        <f>ROUND(RIGHT(Rating_CP,LEN(Rating_CP)-2),0)&lt;20</f>
        <v>1</v>
      </c>
      <c r="C2" s="252">
        <f>Spot_MTM_in_CCY*FX_CCYEUR</f>
        <v>0</v>
      </c>
      <c r="D2" s="251">
        <f>MAX(0,C2-G2,IF(Is_CSA="Yes",(CSA_MTA_Threshold-CSA_IA)*FX_CCYEUR,0))</f>
        <v>0</v>
      </c>
      <c r="E2" s="251">
        <f>Notional_in_CCY*FX_CCYEUR</f>
        <v>0</v>
      </c>
      <c r="F2" s="17">
        <v>1</v>
      </c>
      <c r="G2" s="251">
        <f>IF(Is_CSA="Yes",MAX(C2-CSA_MTA_Threshold*FX_CCYEUR,0)+CSA_IA*FX_CCYEUR,CSA_IA*FX_CCYEUR)</f>
        <v>0</v>
      </c>
      <c r="H2" s="277">
        <f ca="1">MAX(1,(MIN(Maturity, EarlyTerminationDate)-A2))/365.25</f>
        <v>2.7378507871321013E-3</v>
      </c>
      <c r="I2" s="20" t="str">
        <f>VLOOKUP(Product_Type,Mapping_SACCR_Factors,5,0)</f>
        <v>Other Commodities</v>
      </c>
      <c r="J2" s="20" t="str">
        <f ca="1">IF(H2&lt;=1,"&lt;=1 Y",IF(H2&gt;5,"&gt;5 Y","&gt;1Y and &lt;=5Y"))</f>
        <v>&lt;=1 Y</v>
      </c>
      <c r="K2" s="19">
        <f ca="1">OFFSET(Statics!$R$3,MATCH(J2,Statics!$R$3:$R$6,0)-1,MATCH(I2,Statics!$R$3:$W$3,0)-1)</f>
        <v>0.1</v>
      </c>
      <c r="L2" s="218">
        <f ca="1">K2*E2*F2</f>
        <v>0</v>
      </c>
      <c r="M2" s="37">
        <f>VLOOKUP(Exposure_Class,Statics!$AC:$AH,2,0)</f>
        <v>0</v>
      </c>
      <c r="N2" s="37">
        <f>VLOOKUP(Exposure_Class,Statics!$AC:$AH,3,0)</f>
        <v>0.12</v>
      </c>
      <c r="O2" s="37">
        <f>VLOOKUP(Exposure_Class,Statics!$AC:$AH,4,0)</f>
        <v>0.24</v>
      </c>
      <c r="P2" s="37">
        <f>VLOOKUP(Exposure_Class,Statics!$AC:$AH,5,0)</f>
        <v>50</v>
      </c>
      <c r="Q2" s="37">
        <f>VLOOKUP(Exposure_Class,Statics!$AC:$AH,6,0)</f>
        <v>0</v>
      </c>
      <c r="R2" s="38">
        <f>VLOOKUP(Effective_Regulated,Statics!AJ:AL,3,0)</f>
        <v>0</v>
      </c>
      <c r="S2" s="259">
        <f>VLOOKUP(MIN(RIGHT(Rating_CP,LEN(Rating_CP)-2),MAX(Statics!Y:Y)),Statics!Y:Z,2,0)</f>
        <v>0.03</v>
      </c>
      <c r="T2" s="16">
        <f ca="1">IF(AND(Is_WWR_Equity="Yes",Product_Type="Equities SingleName"),E2,D2+B2*L2)</f>
        <v>0</v>
      </c>
      <c r="U2" s="260">
        <f>CvaCapDiversificationRatio</f>
        <v>0.51395769999999996</v>
      </c>
      <c r="V2" s="257">
        <f>MAX(0.0003,VLOOKUP(Rating_CP,Statics!F:G,2,0))</f>
        <v>2.3749880000000001E-2</v>
      </c>
      <c r="W2" s="241">
        <f>MAX(0,MIN(1,p_1+p_2*(1-EXP(-p_4*V2))/(1-EXP(-p_4))+p_3*(1-(1-EXP(-p_4*V2))/(1-EXP(-p_4)))-p_5*(1-(MIN(Total_Ann_Sales,5)-5)/45)))*(1+p_6)</f>
        <v>0.15659815183357934</v>
      </c>
      <c r="X2" s="18">
        <f>(0.11852-0.05478*LN(V2))^2</f>
        <v>0.10459204880573279</v>
      </c>
      <c r="Y2" s="18">
        <f ca="1">(1+(MAX(1,MIN(Remaining_Maturity,5))-2.5)*b)/(1-1.5*b)</f>
        <v>1</v>
      </c>
      <c r="Z2" s="18">
        <f ca="1">IF(B2,(LGD*NORMSDIST((1-W2)^-0.5*NORMSINV(V2)+(W2/(1-W2))^0.5*NORMSINV(0.999))-V2*LGD)*Y2,1)</f>
        <v>0.10673545521159872</v>
      </c>
      <c r="AA2" s="18">
        <v>1.06</v>
      </c>
      <c r="AB2" s="18">
        <f ca="1">Z2*AA2*12.5</f>
        <v>1.4142447815536832</v>
      </c>
      <c r="AC2" s="18">
        <f ca="1">AB2</f>
        <v>1.4142447815536832</v>
      </c>
      <c r="AD2" s="236">
        <f ca="1">AC2*MIN(T2,T3)*0.08</f>
        <v>0</v>
      </c>
      <c r="AE2" s="236">
        <f ca="1">2.33*S2*H2*MIN(T2,T3)*U2*(1-EXP(-0.05*Remaining_Maturity))/(0.05*Remaining_Maturity)</f>
        <v>0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1:60" customFormat="1" x14ac:dyDescent="0.25">
      <c r="A3" s="1"/>
      <c r="B3" s="1"/>
      <c r="C3" s="1"/>
      <c r="D3" s="253">
        <f>MAX(C2-CSA_IA*FX_CCYEUR,0)</f>
        <v>0</v>
      </c>
      <c r="E3" s="256" t="s">
        <v>3234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55">
        <f ca="1">IF(AND(Is_WWR_Equity="Yes",Product_Type="Equities SingleName"),E2,D3+B2*L2)</f>
        <v>0</v>
      </c>
      <c r="U3" s="1"/>
      <c r="V3" s="13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 customForma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256" t="s">
        <v>3237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 customForma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 customFormat="1" ht="30.75" customHeight="1" x14ac:dyDescent="0.25">
      <c r="A6" s="1"/>
      <c r="B6" s="243"/>
      <c r="C6" s="219" t="s">
        <v>3217</v>
      </c>
      <c r="D6" s="220" t="s">
        <v>3247</v>
      </c>
      <c r="E6" s="220" t="s">
        <v>3231</v>
      </c>
      <c r="F6" s="219" t="s">
        <v>3225</v>
      </c>
      <c r="G6" s="219" t="s">
        <v>3224</v>
      </c>
      <c r="H6" s="228" t="s">
        <v>3229</v>
      </c>
      <c r="I6" s="228" t="s">
        <v>3230</v>
      </c>
      <c r="J6" s="247" t="s">
        <v>3240</v>
      </c>
      <c r="K6" s="228" t="s">
        <v>3214</v>
      </c>
      <c r="L6" s="228" t="s">
        <v>3212</v>
      </c>
      <c r="M6" s="228" t="s">
        <v>3227</v>
      </c>
      <c r="N6" s="228" t="s">
        <v>3213</v>
      </c>
      <c r="O6" s="178" t="s">
        <v>42</v>
      </c>
      <c r="P6" s="234" t="s">
        <v>3223</v>
      </c>
      <c r="Q6" s="247" t="s">
        <v>3239</v>
      </c>
      <c r="R6" s="178" t="s">
        <v>3232</v>
      </c>
      <c r="S6" s="181" t="s">
        <v>67</v>
      </c>
      <c r="T6" s="239" t="s">
        <v>3216</v>
      </c>
      <c r="U6" s="179" t="s">
        <v>68</v>
      </c>
      <c r="V6" s="180"/>
      <c r="W6" s="180"/>
      <c r="X6" s="180"/>
      <c r="Y6" s="180"/>
      <c r="Z6" s="180"/>
      <c r="AA6" s="180"/>
      <c r="AB6" s="180"/>
      <c r="AC6" s="182" t="s">
        <v>3191</v>
      </c>
      <c r="AD6" s="275" t="s">
        <v>3254</v>
      </c>
      <c r="AE6" s="275" t="s">
        <v>3256</v>
      </c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1:60" customFormat="1" x14ac:dyDescent="0.25">
      <c r="A7" s="1"/>
      <c r="B7" s="136"/>
      <c r="C7" s="237">
        <f>IF(Product_Type_Main="Interest Rates and Credit",(EXP(-5%*F7)-EXP(-5%*G7))/5%,1)</f>
        <v>1</v>
      </c>
      <c r="D7" s="251">
        <f>IF(AND( Product_Type="Interest Rates",Is_Basis="Yes"),0,Average_Remaining_Notional*FX_CCYEUR)</f>
        <v>0</v>
      </c>
      <c r="E7" s="251">
        <f>D7*FX_CCYEUR*IF(Product_Type_Main="Interest Rates and Credit",C7,1)</f>
        <v>0</v>
      </c>
      <c r="F7" s="278">
        <f ca="1">(Regulatory_Start_Date-AsOfDate)/365.25</f>
        <v>0</v>
      </c>
      <c r="G7" s="262">
        <f ca="1">(Underlying_Maturity_Date-AsOfDate)/365.25</f>
        <v>0</v>
      </c>
      <c r="H7" s="18">
        <f ca="1">IF(Is_CSA="Yes",3/2*SQRT(CSA_Frequency/250),SQRT(MIN(MAX(Remaining_Maturity,10/250),1)))</f>
        <v>0.2</v>
      </c>
      <c r="I7" s="19" t="str">
        <f>Product_Type</f>
        <v>Others Commodities</v>
      </c>
      <c r="J7" s="218">
        <f>MAX(0,C2-G2,IF(Is_CSA="Yes",CSA_MTA_Threshold-CSA_IA,0)*FX_CCYEUR)</f>
        <v>0</v>
      </c>
      <c r="K7" s="19">
        <f>VLOOKUP(Product_Type_SA_CCR,Mapping_SACCR_Factors,2,0)*IF(Is_Basis="Yes",1.5,1)</f>
        <v>0.18</v>
      </c>
      <c r="L7" s="38">
        <f>VLOOKUP(Product_Type_SA_CCR,Mapping_SACCR_Factors,4,0)</f>
        <v>0.7</v>
      </c>
      <c r="M7" s="238" cm="1">
        <f t="array" ref="M7">IF(Is_Option="No",1,SA_CCR_Option_Delta(Call_OR_Put, Option_Moneyness,L7,(Option_Last_Expiry-AsOfDate)/365.25))</f>
        <v>1</v>
      </c>
      <c r="N7" s="229">
        <f>VLOOKUP(Product_Type_SA_CCR,Mapping_SACCR_Factors,3,0)</f>
        <v>0.4</v>
      </c>
      <c r="O7" s="218">
        <f ca="1">K7*M7*H7*E7</f>
        <v>0</v>
      </c>
      <c r="P7" s="235">
        <f>IF(OR(Is_CSA="Yes",C2&lt;G2,C2&lt;0),MIN(1,5%+(1-5%)*EXP((C2-G2)/(2*(1-5%)*O7))),1)</f>
        <v>1</v>
      </c>
      <c r="Q7" s="218">
        <f ca="1">P7*O7</f>
        <v>0</v>
      </c>
      <c r="R7" s="258">
        <v>1.4</v>
      </c>
      <c r="S7" s="259">
        <f>S2</f>
        <v>0.03</v>
      </c>
      <c r="T7" s="240">
        <f ca="1">IF(AND(Is_WWR_Equity="Yes",Product_Type="Equities SingleName"),E2,R7*(J7+Q7*B2))</f>
        <v>0</v>
      </c>
      <c r="U7" s="260">
        <f>U2</f>
        <v>0.51395769999999996</v>
      </c>
      <c r="V7" s="257"/>
      <c r="W7" s="241"/>
      <c r="X7" s="18"/>
      <c r="Y7" s="18"/>
      <c r="Z7" s="18"/>
      <c r="AA7" s="18"/>
      <c r="AB7" s="18"/>
      <c r="AC7" s="18">
        <f ca="1">AC2</f>
        <v>1.4142447815536832</v>
      </c>
      <c r="AD7" s="236">
        <f ca="1">AC7*MIN(T7,T8)*0.08</f>
        <v>0</v>
      </c>
      <c r="AE7" s="236">
        <f ca="1">2.33*S7*H2*MIN(T7,T8)*U7*(1-EXP(-0.05*Remaining_Maturity))/(0.05*Remaining_Maturity)</f>
        <v>0</v>
      </c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</row>
    <row r="8" spans="1:60" customFormat="1" x14ac:dyDescent="0.25">
      <c r="A8" s="1"/>
      <c r="B8" s="1"/>
      <c r="C8" s="1"/>
      <c r="D8" s="1"/>
      <c r="E8" s="1"/>
      <c r="F8" s="1"/>
      <c r="G8" s="1"/>
      <c r="H8" s="280">
        <f ca="1">SQRT(MIN(MAX(Remaining_Maturity,10/250),1))</f>
        <v>0.2</v>
      </c>
      <c r="I8" s="256" t="s">
        <v>3234</v>
      </c>
      <c r="J8" s="253">
        <f>MAX(C2-CSA_IA*FX_CCYEUR,0)</f>
        <v>0</v>
      </c>
      <c r="K8" s="256" t="s">
        <v>3234</v>
      </c>
      <c r="L8" s="1"/>
      <c r="M8" s="1"/>
      <c r="N8" s="1"/>
      <c r="O8" s="253">
        <f ca="1">K7*M7*H8*E7</f>
        <v>0</v>
      </c>
      <c r="P8" s="254">
        <f>IF(OR(C2&lt;G2,C2&lt;0),MIN(1,5%+(1-5%)*EXP((C2-G2)/(2*(1-5%)*O7))),1)</f>
        <v>1</v>
      </c>
      <c r="Q8" s="253">
        <f ca="1">P8*O8</f>
        <v>0</v>
      </c>
      <c r="R8" s="256" t="s">
        <v>3234</v>
      </c>
      <c r="S8" s="1"/>
      <c r="T8" s="255">
        <f ca="1">IF(AND(Is_WWR_Equity="Yes",Product_Type="Equities SingleName"),E2,R7*(J8+Q8*B2))</f>
        <v>0</v>
      </c>
      <c r="U8" s="1"/>
      <c r="V8" s="136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1:60" customFormat="1" x14ac:dyDescent="0.25">
      <c r="A9" s="1"/>
      <c r="B9" s="1"/>
      <c r="C9" s="270">
        <f>D9*18</f>
        <v>0</v>
      </c>
      <c r="D9" s="26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1" t="s">
        <v>3237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</row>
    <row r="10" spans="1:60" x14ac:dyDescent="0.25">
      <c r="A10" s="1"/>
      <c r="B10" s="23"/>
      <c r="C10" s="1"/>
      <c r="D10" s="136"/>
      <c r="E10" s="136"/>
      <c r="F10" s="23"/>
      <c r="G10" s="23"/>
      <c r="H10" s="136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136"/>
      <c r="U10" s="23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</row>
    <row r="11" spans="1:60" customFormat="1" ht="30" x14ac:dyDescent="0.25">
      <c r="A11" s="1"/>
      <c r="B11" s="243"/>
      <c r="C11" s="216"/>
      <c r="D11" s="220"/>
      <c r="E11" s="220"/>
      <c r="F11" s="219"/>
      <c r="G11" s="219"/>
      <c r="H11" s="228" t="s">
        <v>39</v>
      </c>
      <c r="I11" s="228"/>
      <c r="J11" s="178"/>
      <c r="K11" s="228"/>
      <c r="L11" s="228"/>
      <c r="M11" s="228"/>
      <c r="N11" s="228"/>
      <c r="O11" s="178"/>
      <c r="P11" s="234"/>
      <c r="Q11" s="247" t="s">
        <v>3261</v>
      </c>
      <c r="R11" s="178" t="s">
        <v>3232</v>
      </c>
      <c r="S11" s="181" t="s">
        <v>67</v>
      </c>
      <c r="T11" s="239" t="s">
        <v>3263</v>
      </c>
      <c r="U11" s="179" t="s">
        <v>68</v>
      </c>
      <c r="V11" s="180"/>
      <c r="W11" s="180"/>
      <c r="X11" s="180"/>
      <c r="Y11" s="180"/>
      <c r="Z11" s="180"/>
      <c r="AA11" s="180"/>
      <c r="AB11" s="180"/>
      <c r="AC11" s="182" t="s">
        <v>3191</v>
      </c>
      <c r="AD11" s="275" t="s">
        <v>3259</v>
      </c>
      <c r="AE11" s="275" t="s">
        <v>3260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</row>
    <row r="12" spans="1:60" customFormat="1" x14ac:dyDescent="0.25">
      <c r="A12" s="1"/>
      <c r="B12" s="136"/>
      <c r="C12" s="216"/>
      <c r="D12" s="251"/>
      <c r="E12" s="251"/>
      <c r="F12" s="261"/>
      <c r="G12" s="262"/>
      <c r="H12" s="277">
        <f ca="1">Remaining_Maturity</f>
        <v>2.7378507871321013E-3</v>
      </c>
      <c r="I12" s="19"/>
      <c r="J12" s="218"/>
      <c r="K12" s="19"/>
      <c r="L12" s="38"/>
      <c r="M12" s="238"/>
      <c r="N12" s="229"/>
      <c r="O12" s="218"/>
      <c r="P12" s="235"/>
      <c r="Q12" s="218">
        <f>MAX(Main!AZ18:AZ107)</f>
        <v>468356.74803673348</v>
      </c>
      <c r="R12" s="258">
        <v>1.4</v>
      </c>
      <c r="S12" s="259">
        <f>S2</f>
        <v>0.03</v>
      </c>
      <c r="T12" s="240">
        <f>IF(AND(Is_WWR_Equity="Yes",Product_Type="Equities SingleName"),E2,R12*Q12)</f>
        <v>655699.44725142687</v>
      </c>
      <c r="U12" s="260">
        <f>U2</f>
        <v>0.51395769999999996</v>
      </c>
      <c r="V12" s="257"/>
      <c r="W12" s="241"/>
      <c r="X12" s="18"/>
      <c r="Y12" s="18"/>
      <c r="Z12" s="18"/>
      <c r="AA12" s="18"/>
      <c r="AB12" s="18"/>
      <c r="AC12" s="18">
        <f ca="1">AC2</f>
        <v>1.4142447815536832</v>
      </c>
      <c r="AD12" s="236">
        <f ca="1">AC12*MIN(T12,T12)*0.08</f>
        <v>74185.561723437204</v>
      </c>
      <c r="AE12" s="236">
        <f ca="1">2.33*S12*H2*MIN(T12,T12)*U12*(1-EXP(-0.05*Remaining_Maturity))/(0.05*Remaining_Maturity)</f>
        <v>64.489560937051593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1:60" x14ac:dyDescent="0.25">
      <c r="A13" s="23"/>
      <c r="B13" s="23"/>
      <c r="C13" s="23"/>
      <c r="D13" s="136"/>
      <c r="E13" s="136"/>
      <c r="F13" s="136"/>
      <c r="G13" s="136"/>
      <c r="H13" s="136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136"/>
      <c r="U13" s="23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</row>
    <row r="14" spans="1:60" x14ac:dyDescent="0.25">
      <c r="A14" s="23"/>
      <c r="B14" s="23"/>
      <c r="C14" s="23"/>
      <c r="D14" s="136"/>
      <c r="E14" s="136"/>
      <c r="F14" s="136"/>
      <c r="G14" s="136"/>
      <c r="H14" s="136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136"/>
      <c r="U14" s="23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</row>
    <row r="15" spans="1:60" customFormat="1" x14ac:dyDescent="0.25">
      <c r="A15" s="1"/>
      <c r="B15" s="1"/>
      <c r="C15" s="1"/>
      <c r="D15" s="268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customFormat="1" ht="30.75" customHeight="1" x14ac:dyDescent="0.25">
      <c r="A16" s="1"/>
      <c r="B16" s="243"/>
      <c r="C16" s="1"/>
      <c r="D16" s="268"/>
      <c r="E16" s="244"/>
      <c r="F16" s="245"/>
      <c r="G16" s="245"/>
      <c r="H16" s="243"/>
      <c r="I16" s="243"/>
      <c r="J16" s="246"/>
      <c r="K16" s="245"/>
      <c r="L16" s="23"/>
      <c r="M16" s="245"/>
      <c r="N16" s="245"/>
      <c r="O16" s="245"/>
      <c r="P16" s="243"/>
      <c r="Q16" s="243"/>
      <c r="R16" s="245"/>
      <c r="S16" s="23"/>
      <c r="T16" s="136"/>
      <c r="U16" s="1"/>
      <c r="V16" s="1"/>
      <c r="W16" s="1"/>
      <c r="X16" s="1"/>
      <c r="Y16" s="1"/>
      <c r="Z16" s="1"/>
      <c r="AA16" s="1"/>
      <c r="AB16" s="1"/>
      <c r="AC16" s="1"/>
      <c r="AD16" s="276" t="s">
        <v>3257</v>
      </c>
      <c r="AE16" s="276" t="s">
        <v>3258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x14ac:dyDescent="0.25">
      <c r="A17" s="1"/>
      <c r="B17" s="23"/>
      <c r="C17" s="1"/>
      <c r="D17" s="136"/>
      <c r="E17" s="136"/>
      <c r="F17" s="23"/>
      <c r="G17" s="23"/>
      <c r="H17" s="136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136"/>
      <c r="U17" s="23"/>
      <c r="V17" s="136"/>
      <c r="W17" s="136"/>
      <c r="X17" s="136"/>
      <c r="Y17" s="136"/>
      <c r="Z17" s="136"/>
      <c r="AA17" s="136"/>
      <c r="AB17" s="136"/>
      <c r="AC17" s="136"/>
      <c r="AD17" s="236" cm="1">
        <f t="array" aca="1" ref="AD17" ca="1">_xlfn.IFS(Capital_Approach="CEM",DefK_t_0_CEM,Capital_Approach="SA-CCR",DefK_t_0_SA_CCR,Capital_Approach="IMM (Proxy)",DefK_t_0_IMM_Proxy)</f>
        <v>74185.561723437204</v>
      </c>
      <c r="AE17" s="236" cm="1">
        <f t="array" aca="1" ref="AE17" ca="1">_xlfn.IFS(Capital_Approach="CEM",CvaK_t_0_CEM,Capital_Approach="SA-CCR",CvaK_t_0_SA_CCR,Capital_Approach="IMM (Proxy)",CvaK_t_0_IMM_proxy)</f>
        <v>64.489560937051593</v>
      </c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</row>
    <row r="18" spans="1:60" x14ac:dyDescent="0.25">
      <c r="A18" s="1"/>
      <c r="B18" s="23"/>
      <c r="C18" s="1"/>
      <c r="D18" s="136"/>
      <c r="E18" s="136"/>
      <c r="F18" s="23"/>
      <c r="G18" s="23"/>
      <c r="H18" s="136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136"/>
      <c r="U18" s="23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</row>
    <row r="19" spans="1:60" x14ac:dyDescent="0.25">
      <c r="A19" s="1"/>
      <c r="B19" s="23"/>
      <c r="C19" s="1"/>
      <c r="D19" s="136"/>
      <c r="E19" s="136"/>
      <c r="F19" s="23"/>
      <c r="G19" s="23"/>
      <c r="H19" s="136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136"/>
      <c r="U19" s="23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</row>
    <row r="20" spans="1:60" x14ac:dyDescent="0.25">
      <c r="A20" s="1"/>
      <c r="B20" s="23"/>
      <c r="C20" s="1"/>
      <c r="D20" s="136"/>
      <c r="E20" s="136"/>
      <c r="F20" s="23"/>
      <c r="G20" s="23"/>
      <c r="H20" s="136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136"/>
      <c r="U20" s="23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</row>
    <row r="21" spans="1:60" x14ac:dyDescent="0.25">
      <c r="A21" s="23"/>
      <c r="B21" s="23"/>
      <c r="C21" s="23"/>
      <c r="D21" s="136"/>
      <c r="E21" s="136"/>
      <c r="F21" s="23"/>
      <c r="G21" s="23"/>
      <c r="H21" s="136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136"/>
      <c r="U21" s="23"/>
      <c r="V21" s="136"/>
      <c r="W21" s="136"/>
      <c r="X21" s="136"/>
      <c r="Y21" s="136"/>
      <c r="Z21" s="136"/>
      <c r="AA21" s="136"/>
      <c r="AB21" s="136"/>
      <c r="AC21" s="136"/>
      <c r="AD21" s="136"/>
      <c r="AE21" s="136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</row>
    <row r="22" spans="1:60" x14ac:dyDescent="0.25">
      <c r="A22" s="23"/>
      <c r="B22" s="23"/>
      <c r="C22" s="23"/>
      <c r="D22" s="23"/>
      <c r="E22" s="136"/>
      <c r="F22" s="23"/>
      <c r="G22" s="23"/>
      <c r="H22" s="136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136"/>
      <c r="U22" s="23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</row>
    <row r="23" spans="1:60" x14ac:dyDescent="0.25">
      <c r="A23" s="23"/>
      <c r="B23" s="23"/>
      <c r="C23" s="23"/>
      <c r="D23" s="23"/>
      <c r="E23" s="136"/>
      <c r="F23" s="23"/>
      <c r="G23" s="23"/>
      <c r="H23" s="136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136"/>
      <c r="U23" s="23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</row>
    <row r="24" spans="1:60" x14ac:dyDescent="0.25">
      <c r="A24" s="23"/>
      <c r="B24" s="23"/>
      <c r="C24" s="23"/>
      <c r="D24" s="136"/>
      <c r="E24" s="136"/>
      <c r="F24" s="23"/>
      <c r="G24" s="23"/>
      <c r="H24" s="136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136"/>
      <c r="U24" s="23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</row>
    <row r="25" spans="1:60" x14ac:dyDescent="0.25">
      <c r="A25" s="23"/>
      <c r="B25" s="23"/>
      <c r="C25" s="23"/>
      <c r="D25" s="23"/>
      <c r="E25" s="136"/>
      <c r="F25" s="136"/>
      <c r="G25" s="136"/>
      <c r="H25" s="136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136"/>
      <c r="U25" s="23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</row>
    <row r="26" spans="1:60" x14ac:dyDescent="0.25">
      <c r="A26" s="23"/>
      <c r="B26" s="23"/>
      <c r="C26" s="23"/>
      <c r="D26" s="136"/>
      <c r="E26" s="136"/>
      <c r="F26" s="136"/>
      <c r="G26" s="136"/>
      <c r="H26" s="136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136"/>
      <c r="U26" s="23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</row>
    <row r="27" spans="1:60" x14ac:dyDescent="0.25">
      <c r="A27" s="23"/>
      <c r="B27" s="23"/>
      <c r="C27" s="23"/>
      <c r="D27" s="136"/>
      <c r="E27" s="136"/>
      <c r="F27" s="136"/>
      <c r="G27" s="136"/>
      <c r="H27" s="136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136"/>
      <c r="U27" s="23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</row>
    <row r="28" spans="1:60" x14ac:dyDescent="0.25">
      <c r="A28" s="23"/>
      <c r="B28" s="23"/>
      <c r="C28" s="23"/>
      <c r="D28" s="136"/>
      <c r="E28" s="136"/>
      <c r="F28" s="136"/>
      <c r="G28" s="136"/>
      <c r="H28" s="136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136"/>
      <c r="U28" s="23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</row>
    <row r="29" spans="1:60" x14ac:dyDescent="0.25">
      <c r="A29" s="23"/>
      <c r="B29" s="23"/>
      <c r="C29" s="23"/>
      <c r="D29" s="136"/>
      <c r="E29" s="136"/>
      <c r="F29" s="136"/>
      <c r="G29" s="136"/>
      <c r="H29" s="136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136"/>
      <c r="U29" s="23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</row>
    <row r="30" spans="1:60" x14ac:dyDescent="0.25">
      <c r="A30" s="23"/>
      <c r="B30" s="23"/>
      <c r="C30" s="23"/>
      <c r="D30" s="136"/>
      <c r="E30" s="136"/>
      <c r="F30" s="136"/>
      <c r="G30" s="136"/>
      <c r="H30" s="136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136"/>
      <c r="U30" s="23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</row>
    <row r="31" spans="1:60" x14ac:dyDescent="0.25">
      <c r="A31" s="23"/>
      <c r="B31" s="23"/>
      <c r="C31" s="23"/>
      <c r="D31" s="136"/>
      <c r="E31" s="136"/>
      <c r="F31" s="136"/>
      <c r="G31" s="136"/>
      <c r="H31" s="136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136"/>
      <c r="U31" s="23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</row>
    <row r="32" spans="1:60" x14ac:dyDescent="0.25">
      <c r="A32" s="23"/>
      <c r="B32" s="23"/>
      <c r="C32" s="23"/>
      <c r="D32" s="136"/>
      <c r="E32" s="136"/>
      <c r="F32" s="136"/>
      <c r="G32" s="136"/>
      <c r="H32" s="136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136"/>
      <c r="U32" s="23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</row>
    <row r="33" spans="1:60" x14ac:dyDescent="0.25">
      <c r="A33" s="23"/>
      <c r="B33" s="23"/>
      <c r="C33" s="23"/>
      <c r="D33" s="136"/>
      <c r="E33" s="136"/>
      <c r="F33" s="136"/>
      <c r="G33" s="136"/>
      <c r="H33" s="136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136"/>
      <c r="U33" s="23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</row>
    <row r="34" spans="1:60" x14ac:dyDescent="0.25">
      <c r="A34" s="23"/>
      <c r="B34" s="23"/>
      <c r="C34" s="23"/>
      <c r="D34" s="136"/>
      <c r="E34" s="136"/>
      <c r="F34" s="136"/>
      <c r="G34" s="136"/>
      <c r="H34" s="136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136"/>
      <c r="U34" s="23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</row>
    <row r="35" spans="1:60" x14ac:dyDescent="0.25">
      <c r="A35" s="23"/>
      <c r="B35" s="23"/>
      <c r="C35" s="23"/>
      <c r="D35" s="136"/>
      <c r="E35" s="136"/>
      <c r="F35" s="136"/>
      <c r="G35" s="136"/>
      <c r="H35" s="136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136"/>
      <c r="U35" s="23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</row>
    <row r="36" spans="1:60" x14ac:dyDescent="0.25">
      <c r="A36" s="23"/>
      <c r="B36" s="23"/>
      <c r="C36" s="23"/>
      <c r="D36" s="136"/>
      <c r="E36" s="136"/>
      <c r="F36" s="136"/>
      <c r="G36" s="136"/>
      <c r="H36" s="136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136"/>
      <c r="U36" s="23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0" x14ac:dyDescent="0.25">
      <c r="A37" s="23"/>
      <c r="B37" s="23"/>
      <c r="C37" s="23"/>
      <c r="D37" s="136"/>
      <c r="E37" s="136"/>
      <c r="F37" s="136"/>
      <c r="G37" s="136"/>
      <c r="H37" s="136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136"/>
      <c r="U37" s="23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</row>
    <row r="38" spans="1:60" x14ac:dyDescent="0.25">
      <c r="A38" s="23"/>
      <c r="B38" s="23"/>
      <c r="C38" s="23"/>
      <c r="D38" s="136"/>
      <c r="E38" s="136"/>
      <c r="F38" s="136"/>
      <c r="G38" s="136"/>
      <c r="H38" s="136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136"/>
      <c r="U38" s="23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</row>
    <row r="39" spans="1:60" x14ac:dyDescent="0.25">
      <c r="A39" s="23"/>
      <c r="B39" s="23"/>
      <c r="C39" s="23"/>
      <c r="D39" s="136"/>
      <c r="E39" s="136"/>
      <c r="F39" s="136"/>
      <c r="G39" s="136"/>
      <c r="H39" s="136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136"/>
      <c r="U39" s="23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</row>
    <row r="40" spans="1:60" x14ac:dyDescent="0.25">
      <c r="A40" s="23"/>
      <c r="B40" s="23"/>
      <c r="C40" s="23"/>
      <c r="D40" s="136"/>
      <c r="E40" s="136"/>
      <c r="F40" s="136"/>
      <c r="G40" s="136"/>
      <c r="H40" s="136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136"/>
      <c r="U40" s="23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</row>
    <row r="41" spans="1:60" x14ac:dyDescent="0.25">
      <c r="A41" s="23"/>
      <c r="B41" s="23"/>
      <c r="C41" s="23"/>
      <c r="D41" s="136"/>
      <c r="E41" s="136"/>
      <c r="F41" s="136"/>
      <c r="G41" s="136"/>
      <c r="H41" s="136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136"/>
      <c r="U41" s="23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</row>
    <row r="42" spans="1:60" x14ac:dyDescent="0.25">
      <c r="A42" s="23"/>
      <c r="B42" s="23"/>
      <c r="C42" s="23"/>
      <c r="D42" s="136"/>
      <c r="E42" s="136"/>
      <c r="F42" s="136"/>
      <c r="G42" s="136"/>
      <c r="H42" s="136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136"/>
      <c r="U42" s="23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</row>
    <row r="43" spans="1:60" x14ac:dyDescent="0.25">
      <c r="A43" s="23"/>
      <c r="B43" s="23"/>
      <c r="C43" s="23"/>
      <c r="D43" s="136"/>
      <c r="E43" s="136"/>
      <c r="F43" s="23"/>
      <c r="G43" s="23"/>
      <c r="H43" s="136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136"/>
      <c r="U43" s="23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</row>
    <row r="44" spans="1:60" x14ac:dyDescent="0.25">
      <c r="A44" s="23"/>
      <c r="B44" s="23"/>
      <c r="C44" s="23"/>
      <c r="D44" s="23"/>
      <c r="E44" s="136"/>
      <c r="F44" s="23"/>
      <c r="G44" s="23"/>
      <c r="H44" s="136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136"/>
      <c r="U44" s="23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</row>
    <row r="45" spans="1:60" x14ac:dyDescent="0.25">
      <c r="A45" s="23"/>
      <c r="B45" s="23"/>
      <c r="C45" s="23"/>
      <c r="D45" s="23"/>
      <c r="E45" s="136"/>
      <c r="F45" s="23"/>
      <c r="G45" s="23"/>
      <c r="H45" s="136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136"/>
      <c r="U45" s="23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</row>
    <row r="46" spans="1:60" x14ac:dyDescent="0.25">
      <c r="A46" s="23"/>
      <c r="B46" s="23"/>
      <c r="C46" s="23"/>
      <c r="D46" s="23"/>
      <c r="E46" s="136"/>
      <c r="F46" s="184"/>
      <c r="G46" s="23"/>
      <c r="H46" s="136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136"/>
      <c r="U46" s="23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</row>
    <row r="47" spans="1:60" x14ac:dyDescent="0.25">
      <c r="A47" s="23"/>
      <c r="B47" s="23"/>
      <c r="C47" s="23"/>
      <c r="D47" s="23"/>
      <c r="E47" s="136"/>
      <c r="F47" s="23"/>
      <c r="G47" s="23"/>
      <c r="H47" s="136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136"/>
      <c r="U47" s="23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</row>
    <row r="48" spans="1:60" x14ac:dyDescent="0.25">
      <c r="A48" s="23"/>
      <c r="B48" s="23"/>
      <c r="C48" s="23"/>
      <c r="D48" s="23"/>
      <c r="E48" s="136"/>
      <c r="F48" s="23"/>
      <c r="G48" s="23"/>
      <c r="H48" s="136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136"/>
      <c r="U48" s="23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</row>
    <row r="49" spans="1:60" x14ac:dyDescent="0.25">
      <c r="A49" s="23"/>
      <c r="B49" s="23"/>
      <c r="C49" s="23"/>
      <c r="D49" s="23"/>
      <c r="E49" s="136"/>
      <c r="F49" s="23"/>
      <c r="G49" s="23"/>
      <c r="H49" s="136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136"/>
      <c r="U49" s="23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</row>
    <row r="50" spans="1:60" x14ac:dyDescent="0.25">
      <c r="A50" s="23"/>
      <c r="B50" s="23"/>
      <c r="C50" s="23"/>
      <c r="D50" s="23"/>
      <c r="E50" s="136"/>
      <c r="F50" s="23"/>
      <c r="G50" s="23"/>
      <c r="H50" s="136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136"/>
      <c r="U50" s="23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</row>
    <row r="51" spans="1:60" x14ac:dyDescent="0.25">
      <c r="A51" s="23"/>
      <c r="B51" s="23"/>
      <c r="C51" s="23"/>
      <c r="D51" s="23"/>
      <c r="E51" s="136"/>
      <c r="F51" s="23"/>
      <c r="G51" s="23"/>
      <c r="H51" s="136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136"/>
      <c r="U51" s="23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</row>
    <row r="52" spans="1:60" x14ac:dyDescent="0.25">
      <c r="A52" s="23"/>
      <c r="B52" s="23"/>
      <c r="C52" s="23"/>
      <c r="D52" s="23"/>
      <c r="E52" s="136"/>
      <c r="F52" s="23"/>
      <c r="G52" s="23"/>
      <c r="H52" s="136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136"/>
      <c r="U52" s="23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</row>
    <row r="53" spans="1:60" x14ac:dyDescent="0.25">
      <c r="A53" s="23"/>
      <c r="B53" s="23"/>
      <c r="C53" s="23"/>
      <c r="D53" s="23"/>
      <c r="E53" s="136"/>
      <c r="F53" s="23"/>
      <c r="G53" s="23"/>
      <c r="H53" s="136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136"/>
      <c r="U53" s="23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</row>
    <row r="54" spans="1:60" x14ac:dyDescent="0.25">
      <c r="A54" s="23"/>
      <c r="B54" s="23"/>
      <c r="C54" s="23"/>
      <c r="D54" s="23"/>
      <c r="E54" s="136"/>
      <c r="F54" s="23"/>
      <c r="G54" s="23"/>
      <c r="H54" s="136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136"/>
      <c r="U54" s="23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</row>
    <row r="55" spans="1:60" x14ac:dyDescent="0.25">
      <c r="A55" s="23"/>
      <c r="B55" s="23"/>
      <c r="C55" s="23"/>
      <c r="D55" s="23"/>
      <c r="E55" s="136"/>
      <c r="F55" s="23"/>
      <c r="G55" s="23"/>
      <c r="H55" s="136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136"/>
      <c r="U55" s="23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</row>
    <row r="56" spans="1:60" x14ac:dyDescent="0.25">
      <c r="A56" s="23"/>
      <c r="B56" s="23"/>
      <c r="C56" s="23"/>
      <c r="D56" s="23"/>
      <c r="E56" s="136"/>
      <c r="F56" s="23"/>
      <c r="G56" s="23"/>
      <c r="H56" s="136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136"/>
      <c r="U56" s="23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</row>
    <row r="57" spans="1:60" x14ac:dyDescent="0.25">
      <c r="A57" s="23"/>
      <c r="B57" s="23"/>
      <c r="C57" s="23"/>
      <c r="D57" s="23"/>
      <c r="E57" s="136"/>
      <c r="F57" s="23"/>
      <c r="G57" s="23"/>
      <c r="H57" s="136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136"/>
      <c r="U57" s="23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</row>
    <row r="58" spans="1:60" x14ac:dyDescent="0.25">
      <c r="A58" s="23"/>
      <c r="B58" s="23"/>
      <c r="C58" s="23"/>
      <c r="D58" s="23"/>
      <c r="E58" s="136"/>
      <c r="F58" s="23"/>
      <c r="G58" s="23"/>
      <c r="H58" s="136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136"/>
      <c r="U58" s="23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</row>
    <row r="59" spans="1:60" x14ac:dyDescent="0.25">
      <c r="A59" s="23"/>
      <c r="B59" s="23"/>
      <c r="C59" s="23"/>
      <c r="D59" s="23"/>
      <c r="E59" s="136"/>
      <c r="F59" s="23"/>
      <c r="G59" s="23"/>
      <c r="H59" s="136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136"/>
      <c r="U59" s="23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</row>
    <row r="60" spans="1:60" x14ac:dyDescent="0.25">
      <c r="A60" s="23"/>
      <c r="B60" s="23"/>
      <c r="C60" s="23"/>
      <c r="D60" s="23"/>
      <c r="E60" s="136"/>
      <c r="F60" s="23"/>
      <c r="G60" s="23"/>
      <c r="H60" s="136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136"/>
      <c r="U60" s="23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</row>
    <row r="61" spans="1:60" x14ac:dyDescent="0.25">
      <c r="A61" s="23"/>
      <c r="B61" s="23"/>
      <c r="C61" s="23"/>
      <c r="D61" s="23"/>
      <c r="E61" s="136"/>
      <c r="F61" s="23"/>
      <c r="G61" s="23"/>
      <c r="H61" s="136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136"/>
      <c r="U61" s="23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</row>
    <row r="62" spans="1:60" x14ac:dyDescent="0.25">
      <c r="A62" s="23"/>
      <c r="B62" s="23"/>
      <c r="C62" s="23"/>
      <c r="D62" s="23"/>
      <c r="E62" s="136"/>
      <c r="F62" s="23"/>
      <c r="G62" s="23"/>
      <c r="H62" s="136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136"/>
      <c r="U62" s="23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</row>
    <row r="63" spans="1:60" x14ac:dyDescent="0.25">
      <c r="A63" s="23"/>
      <c r="B63" s="23"/>
      <c r="C63" s="23"/>
      <c r="D63" s="23"/>
      <c r="E63" s="136"/>
      <c r="F63" s="23"/>
      <c r="G63" s="23"/>
      <c r="H63" s="136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136"/>
      <c r="U63" s="23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</row>
    <row r="64" spans="1:60" x14ac:dyDescent="0.25">
      <c r="A64" s="23"/>
      <c r="B64" s="23"/>
      <c r="C64" s="23"/>
      <c r="D64" s="23"/>
      <c r="E64" s="136"/>
      <c r="F64" s="23"/>
      <c r="G64" s="23"/>
      <c r="H64" s="136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136"/>
      <c r="U64" s="23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</row>
    <row r="65" spans="1:60" x14ac:dyDescent="0.25">
      <c r="A65" s="23"/>
      <c r="B65" s="23"/>
      <c r="C65" s="23"/>
      <c r="D65" s="23"/>
      <c r="E65" s="136"/>
      <c r="F65" s="23"/>
      <c r="G65" s="23"/>
      <c r="H65" s="136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136"/>
      <c r="U65" s="23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</row>
    <row r="66" spans="1:60" x14ac:dyDescent="0.25">
      <c r="A66" s="23"/>
      <c r="B66" s="23"/>
      <c r="C66" s="23"/>
      <c r="D66" s="23"/>
      <c r="E66" s="136"/>
      <c r="F66" s="23"/>
      <c r="G66" s="23"/>
      <c r="H66" s="136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136"/>
      <c r="U66" s="23"/>
      <c r="V66" s="136"/>
      <c r="W66" s="136"/>
      <c r="X66" s="136"/>
      <c r="Y66" s="136"/>
      <c r="Z66" s="136"/>
      <c r="AA66" s="136"/>
      <c r="AB66" s="136"/>
      <c r="AC66" s="136"/>
      <c r="AD66" s="136"/>
      <c r="AE66" s="136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</row>
    <row r="67" spans="1:60" x14ac:dyDescent="0.25">
      <c r="A67" s="23"/>
      <c r="B67" s="23"/>
      <c r="C67" s="23"/>
      <c r="D67" s="23"/>
      <c r="E67" s="136"/>
      <c r="F67" s="23"/>
      <c r="G67" s="23"/>
      <c r="H67" s="136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136"/>
      <c r="U67" s="23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</row>
    <row r="68" spans="1:60" x14ac:dyDescent="0.25">
      <c r="A68" s="23"/>
      <c r="B68" s="23"/>
      <c r="C68" s="23"/>
      <c r="D68" s="23"/>
      <c r="E68" s="136"/>
      <c r="F68" s="23"/>
      <c r="G68" s="23"/>
      <c r="H68" s="136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136"/>
      <c r="U68" s="23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</row>
    <row r="69" spans="1:60" x14ac:dyDescent="0.25">
      <c r="A69" s="23"/>
      <c r="B69" s="23"/>
      <c r="C69" s="23"/>
      <c r="D69" s="23"/>
      <c r="E69" s="136"/>
      <c r="F69" s="23"/>
      <c r="G69" s="23"/>
      <c r="H69" s="136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136"/>
      <c r="U69" s="23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</row>
    <row r="70" spans="1:60" x14ac:dyDescent="0.25">
      <c r="A70" s="23"/>
      <c r="B70" s="23"/>
      <c r="C70" s="23"/>
      <c r="D70" s="23"/>
      <c r="E70" s="136"/>
      <c r="F70" s="23"/>
      <c r="G70" s="23"/>
      <c r="H70" s="136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136"/>
      <c r="U70" s="23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</row>
    <row r="71" spans="1:60" x14ac:dyDescent="0.25">
      <c r="A71" s="23"/>
      <c r="B71" s="23"/>
      <c r="C71" s="23"/>
      <c r="D71" s="23"/>
      <c r="E71" s="136"/>
      <c r="F71" s="23"/>
      <c r="G71" s="23"/>
      <c r="H71" s="136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136"/>
      <c r="U71" s="23"/>
      <c r="V71" s="136"/>
      <c r="W71" s="136"/>
      <c r="X71" s="136"/>
      <c r="Y71" s="136"/>
      <c r="Z71" s="136"/>
      <c r="AA71" s="136"/>
      <c r="AB71" s="136"/>
      <c r="AC71" s="136"/>
      <c r="AD71" s="136"/>
      <c r="AE71" s="136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</row>
    <row r="72" spans="1:60" x14ac:dyDescent="0.25">
      <c r="A72" s="23"/>
      <c r="B72" s="23"/>
      <c r="C72" s="23"/>
      <c r="D72" s="23"/>
      <c r="E72" s="136"/>
      <c r="F72" s="23"/>
      <c r="G72" s="23"/>
      <c r="H72" s="136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136"/>
      <c r="U72" s="23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</row>
    <row r="73" spans="1:60" x14ac:dyDescent="0.25">
      <c r="A73" s="23"/>
      <c r="B73" s="23"/>
      <c r="C73" s="23"/>
      <c r="D73" s="23"/>
      <c r="E73" s="136"/>
      <c r="F73" s="23"/>
      <c r="G73" s="23"/>
      <c r="H73" s="136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136"/>
      <c r="U73" s="23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</row>
    <row r="74" spans="1:60" x14ac:dyDescent="0.25">
      <c r="A74" s="23"/>
      <c r="B74" s="23"/>
      <c r="C74" s="23"/>
      <c r="D74" s="23"/>
      <c r="E74" s="136"/>
      <c r="F74" s="23"/>
      <c r="G74" s="23"/>
      <c r="H74" s="136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136"/>
      <c r="U74" s="23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</row>
    <row r="75" spans="1:60" x14ac:dyDescent="0.25">
      <c r="A75" s="23"/>
      <c r="B75" s="23"/>
      <c r="C75" s="23"/>
      <c r="D75" s="23"/>
      <c r="E75" s="136"/>
      <c r="F75" s="23"/>
      <c r="G75" s="23"/>
      <c r="H75" s="136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136"/>
      <c r="U75" s="23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</row>
    <row r="76" spans="1:60" x14ac:dyDescent="0.25">
      <c r="A76" s="23"/>
      <c r="B76" s="23"/>
      <c r="C76" s="23"/>
      <c r="D76" s="23"/>
      <c r="E76" s="136"/>
      <c r="F76" s="23"/>
      <c r="G76" s="23"/>
      <c r="H76" s="136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136"/>
      <c r="U76" s="23"/>
      <c r="V76" s="136"/>
      <c r="W76" s="136"/>
      <c r="X76" s="136"/>
      <c r="Y76" s="136"/>
      <c r="Z76" s="136"/>
      <c r="AA76" s="136"/>
      <c r="AB76" s="136"/>
      <c r="AC76" s="136"/>
      <c r="AD76" s="136"/>
      <c r="AE76" s="136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</row>
    <row r="77" spans="1:60" x14ac:dyDescent="0.25">
      <c r="A77" s="23"/>
      <c r="B77" s="23"/>
      <c r="C77" s="23"/>
      <c r="D77" s="23"/>
      <c r="E77" s="136"/>
      <c r="F77" s="23"/>
      <c r="G77" s="23"/>
      <c r="H77" s="136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136"/>
      <c r="U77" s="23"/>
      <c r="V77" s="136"/>
      <c r="W77" s="136"/>
      <c r="X77" s="136"/>
      <c r="Y77" s="136"/>
      <c r="Z77" s="136"/>
      <c r="AA77" s="136"/>
      <c r="AB77" s="136"/>
      <c r="AC77" s="136"/>
      <c r="AD77" s="136"/>
      <c r="AE77" s="136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</row>
    <row r="78" spans="1:60" x14ac:dyDescent="0.25">
      <c r="A78" s="23"/>
      <c r="B78" s="23"/>
      <c r="C78" s="23"/>
      <c r="D78" s="23"/>
      <c r="E78" s="136"/>
      <c r="F78" s="23"/>
      <c r="G78" s="23"/>
      <c r="H78" s="136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136"/>
      <c r="U78" s="23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</row>
    <row r="79" spans="1:60" x14ac:dyDescent="0.25">
      <c r="A79" s="23"/>
      <c r="B79" s="23"/>
      <c r="C79" s="23"/>
      <c r="D79" s="23"/>
      <c r="E79" s="136"/>
      <c r="F79" s="23"/>
      <c r="G79" s="23"/>
      <c r="H79" s="136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136"/>
      <c r="U79" s="23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</row>
    <row r="80" spans="1:60" x14ac:dyDescent="0.25">
      <c r="A80" s="23"/>
      <c r="B80" s="23"/>
      <c r="C80" s="23"/>
      <c r="D80" s="23"/>
      <c r="E80" s="136"/>
      <c r="F80" s="23"/>
      <c r="G80" s="23"/>
      <c r="H80" s="136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136"/>
      <c r="U80" s="23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</row>
    <row r="81" spans="1:60" x14ac:dyDescent="0.25">
      <c r="A81" s="23"/>
      <c r="B81" s="23"/>
      <c r="C81" s="23"/>
      <c r="D81" s="23"/>
      <c r="E81" s="136"/>
      <c r="F81" s="23"/>
      <c r="G81" s="23"/>
      <c r="H81" s="136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136"/>
      <c r="U81" s="23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</row>
    <row r="82" spans="1:60" x14ac:dyDescent="0.25">
      <c r="A82" s="23"/>
      <c r="B82" s="23"/>
      <c r="C82" s="23"/>
      <c r="D82" s="23"/>
      <c r="E82" s="136"/>
      <c r="F82" s="23"/>
      <c r="G82" s="23"/>
      <c r="H82" s="136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136"/>
      <c r="U82" s="23"/>
      <c r="V82" s="136"/>
      <c r="W82" s="136"/>
      <c r="X82" s="136"/>
      <c r="Y82" s="136"/>
      <c r="Z82" s="136"/>
      <c r="AA82" s="136"/>
      <c r="AB82" s="136"/>
      <c r="AC82" s="136"/>
      <c r="AD82" s="136"/>
      <c r="AE82" s="136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</row>
    <row r="83" spans="1:60" x14ac:dyDescent="0.25">
      <c r="A83" s="23"/>
      <c r="B83" s="23"/>
      <c r="C83" s="23"/>
      <c r="D83" s="23"/>
      <c r="E83" s="136"/>
      <c r="F83" s="23"/>
      <c r="G83" s="23"/>
      <c r="H83" s="136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136"/>
      <c r="U83" s="23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</row>
    <row r="84" spans="1:60" x14ac:dyDescent="0.25">
      <c r="A84" s="23"/>
      <c r="B84" s="23"/>
      <c r="C84" s="23"/>
      <c r="D84" s="23"/>
      <c r="E84" s="136"/>
      <c r="F84" s="23"/>
      <c r="G84" s="23"/>
      <c r="H84" s="136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136"/>
      <c r="U84" s="23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</row>
    <row r="85" spans="1:60" x14ac:dyDescent="0.25">
      <c r="A85" s="23"/>
      <c r="B85" s="23"/>
      <c r="C85" s="23"/>
      <c r="D85" s="23"/>
      <c r="E85" s="136"/>
      <c r="F85" s="23"/>
      <c r="G85" s="23"/>
      <c r="H85" s="136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136"/>
      <c r="U85" s="23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</row>
    <row r="86" spans="1:60" x14ac:dyDescent="0.25">
      <c r="A86" s="23"/>
      <c r="B86" s="23"/>
      <c r="C86" s="23"/>
      <c r="D86" s="23"/>
      <c r="E86" s="136"/>
      <c r="F86" s="23"/>
      <c r="G86" s="23"/>
      <c r="H86" s="136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136"/>
      <c r="U86" s="23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</row>
    <row r="87" spans="1:60" x14ac:dyDescent="0.25">
      <c r="A87" s="23"/>
      <c r="B87" s="23"/>
      <c r="C87" s="23"/>
      <c r="D87" s="23"/>
      <c r="E87" s="136"/>
      <c r="F87" s="23"/>
      <c r="G87" s="23"/>
      <c r="H87" s="136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136"/>
      <c r="U87" s="23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</row>
    <row r="88" spans="1:60" x14ac:dyDescent="0.25">
      <c r="A88" s="23"/>
      <c r="B88" s="23"/>
      <c r="C88" s="23"/>
      <c r="D88" s="23"/>
      <c r="E88" s="136"/>
      <c r="F88" s="23"/>
      <c r="G88" s="23"/>
      <c r="H88" s="136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136"/>
      <c r="U88" s="23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</row>
    <row r="89" spans="1:60" x14ac:dyDescent="0.25">
      <c r="A89" s="23"/>
      <c r="B89" s="23"/>
      <c r="C89" s="23"/>
      <c r="D89" s="23"/>
      <c r="E89" s="136"/>
      <c r="F89" s="23"/>
      <c r="G89" s="23"/>
      <c r="H89" s="136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136"/>
      <c r="U89" s="23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</row>
    <row r="90" spans="1:60" x14ac:dyDescent="0.25">
      <c r="A90" s="23"/>
      <c r="B90" s="23"/>
      <c r="C90" s="23"/>
      <c r="D90" s="23"/>
      <c r="E90" s="136"/>
      <c r="F90" s="23"/>
      <c r="G90" s="23"/>
      <c r="H90" s="136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136"/>
      <c r="U90" s="23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</row>
    <row r="91" spans="1:60" x14ac:dyDescent="0.25">
      <c r="A91" s="23"/>
      <c r="B91" s="23"/>
      <c r="C91" s="23"/>
      <c r="D91" s="23"/>
      <c r="E91" s="136"/>
      <c r="F91" s="23"/>
      <c r="G91" s="23"/>
      <c r="H91" s="136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136"/>
      <c r="U91" s="23"/>
      <c r="V91" s="136"/>
      <c r="W91" s="136"/>
      <c r="X91" s="136"/>
      <c r="Y91" s="136"/>
      <c r="Z91" s="136"/>
      <c r="AA91" s="136"/>
      <c r="AB91" s="136"/>
      <c r="AC91" s="136"/>
      <c r="AD91" s="136"/>
      <c r="AE91" s="136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</row>
    <row r="92" spans="1:60" x14ac:dyDescent="0.25">
      <c r="A92" s="23"/>
      <c r="B92" s="23"/>
      <c r="C92" s="23"/>
      <c r="D92" s="23"/>
      <c r="E92" s="136"/>
      <c r="F92" s="23"/>
      <c r="G92" s="23"/>
      <c r="H92" s="136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136"/>
      <c r="U92" s="23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</row>
    <row r="93" spans="1:60" x14ac:dyDescent="0.25">
      <c r="A93" s="23"/>
      <c r="B93" s="23"/>
      <c r="C93" s="23"/>
      <c r="D93" s="23"/>
      <c r="E93" s="136"/>
      <c r="F93" s="23"/>
      <c r="G93" s="23"/>
      <c r="H93" s="136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136"/>
      <c r="U93" s="23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</row>
    <row r="94" spans="1:60" x14ac:dyDescent="0.25">
      <c r="A94" s="23"/>
      <c r="B94" s="23"/>
      <c r="C94" s="23"/>
      <c r="D94" s="23"/>
      <c r="E94" s="136"/>
      <c r="F94" s="23"/>
      <c r="G94" s="23"/>
      <c r="H94" s="136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136"/>
      <c r="U94" s="23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</row>
    <row r="95" spans="1:60" x14ac:dyDescent="0.25">
      <c r="A95" s="23"/>
      <c r="B95" s="23"/>
      <c r="C95" s="23"/>
      <c r="D95" s="23"/>
      <c r="E95" s="136"/>
      <c r="F95" s="23"/>
      <c r="G95" s="23"/>
      <c r="H95" s="136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136"/>
      <c r="U95" s="23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</row>
    <row r="96" spans="1:60" x14ac:dyDescent="0.25">
      <c r="A96" s="23"/>
      <c r="B96" s="23"/>
      <c r="C96" s="23"/>
      <c r="D96" s="23"/>
      <c r="E96" s="136"/>
      <c r="F96" s="23"/>
      <c r="G96" s="23"/>
      <c r="H96" s="136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136"/>
      <c r="U96" s="23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</row>
    <row r="97" spans="1:60" x14ac:dyDescent="0.25">
      <c r="A97" s="23"/>
      <c r="B97" s="23"/>
      <c r="C97" s="23"/>
      <c r="D97" s="23"/>
      <c r="E97" s="136"/>
      <c r="F97" s="23"/>
      <c r="G97" s="23"/>
      <c r="H97" s="136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136"/>
      <c r="U97" s="23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</row>
    <row r="98" spans="1:60" x14ac:dyDescent="0.25">
      <c r="A98" s="23"/>
      <c r="B98" s="23"/>
      <c r="C98" s="23"/>
      <c r="D98" s="23"/>
      <c r="E98" s="136"/>
      <c r="F98" s="23"/>
      <c r="G98" s="23"/>
      <c r="H98" s="136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136"/>
      <c r="U98" s="23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</row>
    <row r="99" spans="1:60" x14ac:dyDescent="0.25">
      <c r="A99" s="23"/>
      <c r="B99" s="23"/>
      <c r="C99" s="23"/>
      <c r="D99" s="23"/>
      <c r="E99" s="136"/>
      <c r="F99" s="23"/>
      <c r="G99" s="23"/>
      <c r="H99" s="136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136"/>
      <c r="U99" s="23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</row>
    <row r="100" spans="1:60" x14ac:dyDescent="0.25">
      <c r="A100" s="23"/>
      <c r="B100" s="23"/>
      <c r="C100" s="23"/>
      <c r="D100" s="23"/>
      <c r="E100" s="136"/>
      <c r="F100" s="23"/>
      <c r="G100" s="23"/>
      <c r="H100" s="136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136"/>
      <c r="U100" s="23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</row>
    <row r="101" spans="1:60" x14ac:dyDescent="0.25">
      <c r="A101" s="23"/>
      <c r="B101" s="23"/>
      <c r="C101" s="23"/>
      <c r="D101" s="23"/>
      <c r="E101" s="136"/>
      <c r="F101" s="23"/>
      <c r="G101" s="23"/>
      <c r="H101" s="136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136"/>
      <c r="U101" s="23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</row>
    <row r="102" spans="1:60" x14ac:dyDescent="0.25">
      <c r="A102" s="23"/>
      <c r="B102" s="23"/>
      <c r="C102" s="23"/>
      <c r="D102" s="23"/>
      <c r="E102" s="136"/>
      <c r="F102" s="23"/>
      <c r="G102" s="23"/>
      <c r="H102" s="136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136"/>
      <c r="U102" s="23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</row>
    <row r="103" spans="1:60" x14ac:dyDescent="0.25">
      <c r="A103" s="23"/>
      <c r="B103" s="23"/>
      <c r="C103" s="23"/>
      <c r="D103" s="23"/>
      <c r="E103" s="136"/>
      <c r="F103" s="23"/>
      <c r="G103" s="23"/>
      <c r="H103" s="136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136"/>
      <c r="U103" s="23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</row>
    <row r="104" spans="1:60" x14ac:dyDescent="0.25">
      <c r="A104" s="23"/>
      <c r="B104" s="23"/>
      <c r="C104" s="23"/>
      <c r="D104" s="23"/>
      <c r="E104" s="136"/>
      <c r="F104" s="23"/>
      <c r="G104" s="23"/>
      <c r="H104" s="136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136"/>
      <c r="U104" s="23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</row>
    <row r="105" spans="1:60" x14ac:dyDescent="0.25">
      <c r="A105" s="23"/>
      <c r="B105" s="23"/>
      <c r="C105" s="23"/>
      <c r="D105" s="23"/>
      <c r="E105" s="136"/>
      <c r="F105" s="23"/>
      <c r="G105" s="23"/>
      <c r="H105" s="136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136"/>
      <c r="U105" s="23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</row>
    <row r="106" spans="1:60" x14ac:dyDescent="0.25">
      <c r="A106" s="23"/>
      <c r="B106" s="23"/>
      <c r="C106" s="23"/>
      <c r="D106" s="23"/>
      <c r="E106" s="136"/>
      <c r="F106" s="23"/>
      <c r="G106" s="23"/>
      <c r="H106" s="136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136"/>
      <c r="U106" s="23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</row>
    <row r="107" spans="1:60" x14ac:dyDescent="0.25">
      <c r="A107" s="23"/>
      <c r="B107" s="23"/>
      <c r="C107" s="23"/>
      <c r="D107" s="23"/>
      <c r="E107" s="136"/>
      <c r="F107" s="23"/>
      <c r="G107" s="23"/>
      <c r="H107" s="136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136"/>
      <c r="U107" s="23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</row>
    <row r="108" spans="1:60" x14ac:dyDescent="0.25">
      <c r="A108" s="23"/>
      <c r="B108" s="23"/>
      <c r="C108" s="23"/>
      <c r="D108" s="23"/>
      <c r="E108" s="136"/>
      <c r="F108" s="23"/>
      <c r="G108" s="23"/>
      <c r="H108" s="136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136"/>
      <c r="U108" s="23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</row>
    <row r="109" spans="1:60" x14ac:dyDescent="0.25">
      <c r="A109" s="23"/>
      <c r="B109" s="23"/>
      <c r="C109" s="23"/>
      <c r="D109" s="23"/>
      <c r="E109" s="136"/>
      <c r="F109" s="23"/>
      <c r="G109" s="23"/>
      <c r="H109" s="136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136"/>
      <c r="U109" s="23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</row>
    <row r="110" spans="1:60" x14ac:dyDescent="0.25">
      <c r="A110" s="23"/>
      <c r="B110" s="23"/>
      <c r="C110" s="23"/>
      <c r="D110" s="23"/>
      <c r="E110" s="136"/>
      <c r="F110" s="23"/>
      <c r="G110" s="23"/>
      <c r="H110" s="136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136"/>
      <c r="U110" s="23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</row>
    <row r="111" spans="1:60" x14ac:dyDescent="0.25">
      <c r="A111" s="23"/>
      <c r="B111" s="23"/>
      <c r="C111" s="23"/>
      <c r="D111" s="23"/>
      <c r="E111" s="136"/>
      <c r="F111" s="23"/>
      <c r="G111" s="23"/>
      <c r="H111" s="136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136"/>
      <c r="U111" s="23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</row>
    <row r="112" spans="1:60" x14ac:dyDescent="0.25">
      <c r="A112" s="23"/>
      <c r="B112" s="23"/>
      <c r="C112" s="23"/>
      <c r="D112" s="23"/>
      <c r="E112" s="136"/>
      <c r="F112" s="23"/>
      <c r="G112" s="23"/>
      <c r="H112" s="136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136"/>
      <c r="U112" s="23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</row>
    <row r="113" spans="1:60" x14ac:dyDescent="0.25">
      <c r="A113" s="23"/>
      <c r="B113" s="23"/>
      <c r="C113" s="23"/>
      <c r="D113" s="23"/>
      <c r="E113" s="136"/>
      <c r="F113" s="23"/>
      <c r="G113" s="23"/>
      <c r="H113" s="136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136"/>
      <c r="U113" s="23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</row>
    <row r="114" spans="1:60" x14ac:dyDescent="0.25">
      <c r="A114" s="23"/>
      <c r="B114" s="23"/>
      <c r="C114" s="23"/>
      <c r="D114" s="23"/>
      <c r="E114" s="136"/>
      <c r="F114" s="23"/>
      <c r="G114" s="23"/>
      <c r="H114" s="136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136"/>
      <c r="U114" s="23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</row>
    <row r="115" spans="1:60" x14ac:dyDescent="0.25">
      <c r="A115" s="23"/>
      <c r="B115" s="23"/>
      <c r="C115" s="23"/>
      <c r="D115" s="23"/>
      <c r="E115" s="136"/>
      <c r="F115" s="23"/>
      <c r="G115" s="23"/>
      <c r="H115" s="136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136"/>
      <c r="U115" s="23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</row>
    <row r="116" spans="1:60" x14ac:dyDescent="0.25">
      <c r="A116" s="23"/>
      <c r="B116" s="23"/>
      <c r="C116" s="23"/>
      <c r="D116" s="23"/>
      <c r="E116" s="136"/>
      <c r="F116" s="23"/>
      <c r="G116" s="23"/>
      <c r="H116" s="136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136"/>
      <c r="U116" s="23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</row>
    <row r="117" spans="1:60" x14ac:dyDescent="0.25">
      <c r="A117" s="23"/>
      <c r="B117" s="23"/>
      <c r="C117" s="23"/>
      <c r="D117" s="23"/>
      <c r="E117" s="136"/>
      <c r="F117" s="23"/>
      <c r="G117" s="23"/>
      <c r="H117" s="136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136"/>
      <c r="U117" s="23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</row>
    <row r="118" spans="1:60" x14ac:dyDescent="0.25">
      <c r="A118" s="23"/>
      <c r="B118" s="23"/>
      <c r="C118" s="23"/>
      <c r="D118" s="23"/>
      <c r="E118" s="136"/>
      <c r="F118" s="23"/>
      <c r="G118" s="23"/>
      <c r="H118" s="136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136"/>
      <c r="U118" s="23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</row>
    <row r="119" spans="1:60" x14ac:dyDescent="0.25">
      <c r="A119" s="23"/>
      <c r="B119" s="23"/>
      <c r="C119" s="23"/>
      <c r="D119" s="23"/>
      <c r="E119" s="136"/>
      <c r="F119" s="23"/>
      <c r="G119" s="23"/>
      <c r="H119" s="136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136"/>
      <c r="U119" s="23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</row>
    <row r="120" spans="1:60" x14ac:dyDescent="0.25">
      <c r="A120" s="23"/>
      <c r="B120" s="23"/>
      <c r="C120" s="23"/>
      <c r="D120" s="23"/>
      <c r="E120" s="136"/>
      <c r="F120" s="23"/>
      <c r="G120" s="23"/>
      <c r="H120" s="136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136"/>
      <c r="U120" s="23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</row>
    <row r="121" spans="1:60" x14ac:dyDescent="0.25">
      <c r="A121" s="23"/>
      <c r="B121" s="23"/>
      <c r="C121" s="23"/>
      <c r="D121" s="23"/>
      <c r="E121" s="136"/>
      <c r="F121" s="23"/>
      <c r="G121" s="23"/>
      <c r="H121" s="136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136"/>
      <c r="U121" s="23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</row>
    <row r="122" spans="1:60" x14ac:dyDescent="0.25">
      <c r="A122" s="23"/>
      <c r="B122" s="23"/>
      <c r="C122" s="23"/>
      <c r="D122" s="23"/>
      <c r="E122" s="136"/>
      <c r="F122" s="23"/>
      <c r="G122" s="23"/>
      <c r="H122" s="136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136"/>
      <c r="U122" s="23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</row>
    <row r="123" spans="1:60" x14ac:dyDescent="0.25">
      <c r="A123" s="23"/>
      <c r="B123" s="23"/>
      <c r="C123" s="23"/>
      <c r="D123" s="23"/>
      <c r="E123" s="136"/>
      <c r="F123" s="23"/>
      <c r="G123" s="23"/>
      <c r="H123" s="136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136"/>
      <c r="U123" s="23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</row>
    <row r="124" spans="1:60" x14ac:dyDescent="0.25">
      <c r="A124" s="23"/>
      <c r="B124" s="23"/>
      <c r="C124" s="23"/>
      <c r="D124" s="23"/>
      <c r="E124" s="136"/>
      <c r="F124" s="23"/>
      <c r="G124" s="23"/>
      <c r="H124" s="13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136"/>
      <c r="U124" s="23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</row>
    <row r="125" spans="1:60" x14ac:dyDescent="0.25">
      <c r="A125" s="23"/>
      <c r="B125" s="23"/>
      <c r="C125" s="23"/>
      <c r="D125" s="23"/>
      <c r="E125" s="136"/>
      <c r="F125" s="23"/>
      <c r="G125" s="23"/>
      <c r="H125" s="136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136"/>
      <c r="U125" s="23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</row>
    <row r="126" spans="1:60" x14ac:dyDescent="0.25">
      <c r="A126" s="23"/>
      <c r="B126" s="23"/>
      <c r="C126" s="23"/>
      <c r="D126" s="23"/>
      <c r="E126" s="136"/>
      <c r="F126" s="23"/>
      <c r="G126" s="23"/>
      <c r="H126" s="136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136"/>
      <c r="U126" s="23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</row>
    <row r="127" spans="1:60" x14ac:dyDescent="0.25">
      <c r="A127" s="23"/>
      <c r="B127" s="23"/>
      <c r="C127" s="23"/>
      <c r="D127" s="23"/>
      <c r="E127" s="136"/>
      <c r="F127" s="23"/>
      <c r="G127" s="23"/>
      <c r="H127" s="136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136"/>
      <c r="U127" s="23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</row>
    <row r="128" spans="1:60" x14ac:dyDescent="0.25">
      <c r="A128" s="23"/>
      <c r="B128" s="23"/>
      <c r="C128" s="23"/>
      <c r="D128" s="23"/>
      <c r="E128" s="136"/>
      <c r="F128" s="23"/>
      <c r="G128" s="23"/>
      <c r="H128" s="136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136"/>
      <c r="U128" s="23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</row>
    <row r="129" spans="1:60" x14ac:dyDescent="0.25">
      <c r="A129" s="23"/>
      <c r="B129" s="23"/>
      <c r="C129" s="23"/>
      <c r="D129" s="23"/>
      <c r="E129" s="136"/>
      <c r="F129" s="23"/>
      <c r="G129" s="23"/>
      <c r="H129" s="136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136"/>
      <c r="U129" s="23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</row>
    <row r="130" spans="1:60" x14ac:dyDescent="0.25">
      <c r="A130" s="23"/>
      <c r="B130" s="23"/>
      <c r="C130" s="23"/>
      <c r="D130" s="23"/>
      <c r="E130" s="136"/>
      <c r="F130" s="23"/>
      <c r="G130" s="23"/>
      <c r="H130" s="136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136"/>
      <c r="U130" s="23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</row>
    <row r="131" spans="1:60" x14ac:dyDescent="0.25">
      <c r="A131" s="23"/>
      <c r="B131" s="23"/>
      <c r="C131" s="23"/>
      <c r="D131" s="23"/>
      <c r="E131" s="136"/>
      <c r="F131" s="23"/>
      <c r="G131" s="23"/>
      <c r="H131" s="136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136"/>
      <c r="U131" s="23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</row>
    <row r="132" spans="1:60" x14ac:dyDescent="0.25">
      <c r="A132" s="23"/>
      <c r="B132" s="23"/>
      <c r="C132" s="23"/>
      <c r="D132" s="23"/>
      <c r="E132" s="136"/>
      <c r="F132" s="23"/>
      <c r="G132" s="23"/>
      <c r="H132" s="136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136"/>
      <c r="U132" s="23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</row>
    <row r="133" spans="1:60" x14ac:dyDescent="0.25">
      <c r="A133" s="23"/>
      <c r="B133" s="23"/>
      <c r="C133" s="23"/>
      <c r="D133" s="23"/>
      <c r="E133" s="136"/>
      <c r="F133" s="23"/>
      <c r="G133" s="23"/>
      <c r="H133" s="136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136"/>
      <c r="U133" s="23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</row>
    <row r="134" spans="1:60" x14ac:dyDescent="0.25">
      <c r="A134" s="23"/>
      <c r="B134" s="23"/>
      <c r="C134" s="23"/>
      <c r="D134" s="23"/>
      <c r="E134" s="136"/>
      <c r="F134" s="23"/>
      <c r="G134" s="23"/>
      <c r="H134" s="136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136"/>
      <c r="U134" s="23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</row>
    <row r="135" spans="1:60" x14ac:dyDescent="0.25">
      <c r="A135" s="23"/>
      <c r="B135" s="23"/>
      <c r="C135" s="23"/>
      <c r="D135" s="23"/>
      <c r="E135" s="136"/>
      <c r="F135" s="23"/>
      <c r="G135" s="23"/>
      <c r="H135" s="136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136"/>
      <c r="U135" s="23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</row>
    <row r="136" spans="1:60" x14ac:dyDescent="0.25">
      <c r="A136" s="23"/>
      <c r="B136" s="23"/>
      <c r="C136" s="23"/>
      <c r="D136" s="23"/>
      <c r="E136" s="136"/>
      <c r="F136" s="23"/>
      <c r="G136" s="23"/>
      <c r="H136" s="136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136"/>
      <c r="U136" s="23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</row>
    <row r="137" spans="1:60" x14ac:dyDescent="0.25">
      <c r="A137" s="23"/>
      <c r="B137" s="23"/>
      <c r="C137" s="23"/>
      <c r="D137" s="23"/>
      <c r="E137" s="136"/>
      <c r="F137" s="23"/>
      <c r="G137" s="23"/>
      <c r="H137" s="136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136"/>
      <c r="U137" s="23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</row>
    <row r="138" spans="1:60" x14ac:dyDescent="0.25">
      <c r="A138" s="23"/>
      <c r="B138" s="23"/>
      <c r="C138" s="23"/>
      <c r="D138" s="23"/>
      <c r="E138" s="136"/>
      <c r="F138" s="23"/>
      <c r="G138" s="23"/>
      <c r="H138" s="136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136"/>
      <c r="U138" s="23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</row>
    <row r="139" spans="1:60" x14ac:dyDescent="0.25">
      <c r="A139" s="23"/>
      <c r="B139" s="23"/>
      <c r="C139" s="23"/>
      <c r="D139" s="23"/>
      <c r="E139" s="136"/>
      <c r="F139" s="23"/>
      <c r="G139" s="23"/>
      <c r="H139" s="136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136"/>
      <c r="U139" s="23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</row>
    <row r="140" spans="1:60" x14ac:dyDescent="0.25">
      <c r="A140" s="23"/>
      <c r="B140" s="23"/>
      <c r="C140" s="23"/>
      <c r="D140" s="23"/>
      <c r="E140" s="136"/>
      <c r="F140" s="23"/>
      <c r="G140" s="23"/>
      <c r="H140" s="136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136"/>
      <c r="U140" s="23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</row>
    <row r="141" spans="1:60" x14ac:dyDescent="0.25">
      <c r="A141" s="23"/>
      <c r="B141" s="23"/>
      <c r="C141" s="23"/>
      <c r="D141" s="23"/>
      <c r="E141" s="136"/>
      <c r="F141" s="23"/>
      <c r="G141" s="23"/>
      <c r="H141" s="136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136"/>
      <c r="U141" s="23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</row>
    <row r="142" spans="1:60" x14ac:dyDescent="0.25">
      <c r="A142" s="23"/>
      <c r="B142" s="23"/>
      <c r="C142" s="23"/>
      <c r="D142" s="23"/>
      <c r="E142" s="136"/>
      <c r="F142" s="23"/>
      <c r="G142" s="23"/>
      <c r="H142" s="136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136"/>
      <c r="U142" s="23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</row>
    <row r="143" spans="1:60" x14ac:dyDescent="0.25">
      <c r="A143" s="23"/>
      <c r="B143" s="23"/>
      <c r="C143" s="23"/>
      <c r="D143" s="23"/>
      <c r="E143" s="136"/>
      <c r="F143" s="23"/>
      <c r="G143" s="23"/>
      <c r="H143" s="136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136"/>
      <c r="U143" s="23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</row>
    <row r="144" spans="1:60" x14ac:dyDescent="0.25">
      <c r="A144" s="23"/>
      <c r="B144" s="23"/>
      <c r="C144" s="23"/>
      <c r="D144" s="23"/>
      <c r="E144" s="136"/>
      <c r="F144" s="23"/>
      <c r="G144" s="23"/>
      <c r="H144" s="136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136"/>
      <c r="U144" s="23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</row>
    <row r="145" spans="1:60" x14ac:dyDescent="0.25">
      <c r="A145" s="23"/>
      <c r="B145" s="23"/>
      <c r="C145" s="23"/>
      <c r="D145" s="23"/>
      <c r="E145" s="136"/>
      <c r="F145" s="23"/>
      <c r="G145" s="23"/>
      <c r="H145" s="136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136"/>
      <c r="U145" s="23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</row>
    <row r="146" spans="1:60" x14ac:dyDescent="0.25">
      <c r="A146" s="23"/>
      <c r="B146" s="23"/>
      <c r="C146" s="23"/>
      <c r="D146" s="23"/>
      <c r="E146" s="136"/>
      <c r="F146" s="23"/>
      <c r="G146" s="23"/>
      <c r="H146" s="136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136"/>
      <c r="U146" s="23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</row>
    <row r="147" spans="1:60" x14ac:dyDescent="0.25">
      <c r="A147" s="23"/>
      <c r="B147" s="23"/>
      <c r="C147" s="23"/>
      <c r="D147" s="23"/>
      <c r="E147" s="136"/>
      <c r="F147" s="23"/>
      <c r="G147" s="23"/>
      <c r="H147" s="136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136"/>
      <c r="U147" s="23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</row>
    <row r="148" spans="1:60" x14ac:dyDescent="0.25">
      <c r="A148" s="23"/>
      <c r="B148" s="23"/>
      <c r="C148" s="23"/>
      <c r="D148" s="23"/>
      <c r="E148" s="136"/>
      <c r="F148" s="23"/>
      <c r="G148" s="23"/>
      <c r="H148" s="136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136"/>
      <c r="U148" s="23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</row>
    <row r="149" spans="1:60" x14ac:dyDescent="0.25">
      <c r="A149" s="23"/>
      <c r="B149" s="23"/>
      <c r="C149" s="23"/>
      <c r="D149" s="23"/>
      <c r="E149" s="136"/>
      <c r="F149" s="23"/>
      <c r="G149" s="23"/>
      <c r="H149" s="136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136"/>
      <c r="U149" s="23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</row>
    <row r="150" spans="1:60" x14ac:dyDescent="0.25">
      <c r="A150" s="23"/>
      <c r="B150" s="23"/>
      <c r="C150" s="23"/>
      <c r="D150" s="23"/>
      <c r="E150" s="136"/>
      <c r="F150" s="23"/>
      <c r="G150" s="23"/>
      <c r="H150" s="136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136"/>
      <c r="U150" s="23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</row>
    <row r="151" spans="1:60" x14ac:dyDescent="0.25">
      <c r="A151" s="23"/>
      <c r="B151" s="23"/>
      <c r="C151" s="23"/>
      <c r="D151" s="23"/>
      <c r="E151" s="136"/>
      <c r="F151" s="23"/>
      <c r="G151" s="23"/>
      <c r="H151" s="136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136"/>
      <c r="U151" s="23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</row>
    <row r="152" spans="1:60" x14ac:dyDescent="0.25">
      <c r="A152" s="23"/>
      <c r="B152" s="23"/>
      <c r="C152" s="23"/>
      <c r="D152" s="23"/>
      <c r="E152" s="136"/>
      <c r="F152" s="23"/>
      <c r="G152" s="23"/>
      <c r="H152" s="136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136"/>
      <c r="U152" s="23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</row>
    <row r="153" spans="1:60" x14ac:dyDescent="0.25">
      <c r="A153" s="23"/>
      <c r="B153" s="23"/>
      <c r="C153" s="23"/>
      <c r="D153" s="23"/>
      <c r="E153" s="136"/>
      <c r="F153" s="23"/>
      <c r="G153" s="23"/>
      <c r="H153" s="136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136"/>
      <c r="U153" s="23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</row>
    <row r="154" spans="1:60" x14ac:dyDescent="0.25">
      <c r="A154" s="23"/>
      <c r="B154" s="23"/>
      <c r="C154" s="23"/>
      <c r="D154" s="23"/>
      <c r="E154" s="136"/>
      <c r="F154" s="23"/>
      <c r="G154" s="23"/>
      <c r="H154" s="136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136"/>
      <c r="U154" s="23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</row>
    <row r="155" spans="1:60" x14ac:dyDescent="0.25">
      <c r="A155" s="23"/>
      <c r="B155" s="23"/>
      <c r="C155" s="23"/>
      <c r="D155" s="23"/>
      <c r="E155" s="136"/>
      <c r="F155" s="23"/>
      <c r="G155" s="23"/>
      <c r="H155" s="136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136"/>
      <c r="U155" s="23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</row>
    <row r="156" spans="1:60" x14ac:dyDescent="0.25">
      <c r="A156" s="23"/>
      <c r="B156" s="23"/>
      <c r="C156" s="23"/>
      <c r="D156" s="23"/>
      <c r="E156" s="136"/>
      <c r="F156" s="23"/>
      <c r="G156" s="23"/>
      <c r="H156" s="136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136"/>
      <c r="U156" s="23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</row>
    <row r="157" spans="1:60" x14ac:dyDescent="0.25">
      <c r="A157" s="23"/>
      <c r="B157" s="23"/>
      <c r="C157" s="23"/>
      <c r="D157" s="23"/>
      <c r="E157" s="136"/>
      <c r="F157" s="23"/>
      <c r="G157" s="23"/>
      <c r="H157" s="136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136"/>
      <c r="U157" s="23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</row>
    <row r="158" spans="1:60" x14ac:dyDescent="0.25">
      <c r="A158" s="23"/>
      <c r="B158" s="23"/>
      <c r="C158" s="23"/>
      <c r="D158" s="23"/>
      <c r="E158" s="136"/>
      <c r="F158" s="23"/>
      <c r="G158" s="23"/>
      <c r="H158" s="136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136"/>
      <c r="U158" s="23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</row>
    <row r="159" spans="1:60" x14ac:dyDescent="0.25">
      <c r="A159" s="23"/>
      <c r="B159" s="23"/>
      <c r="C159" s="23"/>
      <c r="D159" s="23"/>
      <c r="E159" s="136"/>
      <c r="F159" s="23"/>
      <c r="G159" s="23"/>
      <c r="H159" s="136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136"/>
      <c r="U159" s="23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</row>
    <row r="160" spans="1:60" x14ac:dyDescent="0.25">
      <c r="A160" s="23"/>
      <c r="B160" s="23"/>
      <c r="C160" s="23"/>
      <c r="D160" s="23"/>
      <c r="E160" s="136"/>
      <c r="F160" s="23"/>
      <c r="G160" s="23"/>
      <c r="H160" s="136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136"/>
      <c r="U160" s="23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</row>
    <row r="161" spans="1:60" x14ac:dyDescent="0.25">
      <c r="A161" s="23"/>
      <c r="B161" s="23"/>
      <c r="C161" s="23"/>
      <c r="D161" s="23"/>
      <c r="E161" s="136"/>
      <c r="F161" s="23"/>
      <c r="G161" s="23"/>
      <c r="H161" s="136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136"/>
      <c r="U161" s="23"/>
      <c r="V161" s="136"/>
      <c r="W161" s="136"/>
      <c r="X161" s="136"/>
      <c r="Y161" s="136"/>
      <c r="Z161" s="136"/>
      <c r="AA161" s="136"/>
      <c r="AB161" s="136"/>
      <c r="AC161" s="136"/>
      <c r="AD161" s="136"/>
      <c r="AE161" s="136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</row>
    <row r="162" spans="1:60" x14ac:dyDescent="0.25">
      <c r="A162" s="23"/>
      <c r="B162" s="23"/>
      <c r="C162" s="23"/>
      <c r="D162" s="23"/>
      <c r="E162" s="136"/>
      <c r="F162" s="23"/>
      <c r="G162" s="23"/>
      <c r="H162" s="136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136"/>
      <c r="U162" s="23"/>
      <c r="V162" s="136"/>
      <c r="W162" s="136"/>
      <c r="X162" s="136"/>
      <c r="Y162" s="136"/>
      <c r="Z162" s="136"/>
      <c r="AA162" s="136"/>
      <c r="AB162" s="136"/>
      <c r="AC162" s="136"/>
      <c r="AD162" s="136"/>
      <c r="AE162" s="136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</row>
    <row r="163" spans="1:60" x14ac:dyDescent="0.25">
      <c r="A163" s="23"/>
      <c r="B163" s="23"/>
      <c r="C163" s="23"/>
      <c r="D163" s="23"/>
      <c r="E163" s="136"/>
      <c r="F163" s="23"/>
      <c r="G163" s="23"/>
      <c r="H163" s="136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136"/>
      <c r="U163" s="23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</row>
    <row r="164" spans="1:60" x14ac:dyDescent="0.25">
      <c r="A164" s="23"/>
      <c r="B164" s="23"/>
      <c r="C164" s="23"/>
      <c r="D164" s="23"/>
      <c r="E164" s="136"/>
      <c r="F164" s="23"/>
      <c r="G164" s="23"/>
      <c r="H164" s="136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136"/>
      <c r="U164" s="23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</row>
    <row r="165" spans="1:60" x14ac:dyDescent="0.25">
      <c r="A165" s="23"/>
      <c r="B165" s="23"/>
      <c r="C165" s="23"/>
      <c r="D165" s="23"/>
      <c r="E165" s="136"/>
      <c r="F165" s="23"/>
      <c r="G165" s="23"/>
      <c r="H165" s="136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136"/>
      <c r="U165" s="23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</row>
    <row r="166" spans="1:60" x14ac:dyDescent="0.25">
      <c r="A166" s="23"/>
      <c r="B166" s="23"/>
      <c r="C166" s="23"/>
      <c r="D166" s="23"/>
      <c r="E166" s="136"/>
      <c r="F166" s="23"/>
      <c r="G166" s="23"/>
      <c r="H166" s="136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136"/>
      <c r="U166" s="23"/>
      <c r="V166" s="136"/>
      <c r="W166" s="136"/>
      <c r="X166" s="136"/>
      <c r="Y166" s="136"/>
      <c r="Z166" s="136"/>
      <c r="AA166" s="136"/>
      <c r="AB166" s="136"/>
      <c r="AC166" s="136"/>
      <c r="AD166" s="136"/>
      <c r="AE166" s="136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</row>
    <row r="167" spans="1:60" x14ac:dyDescent="0.25">
      <c r="A167" s="23"/>
      <c r="B167" s="23"/>
      <c r="C167" s="23"/>
      <c r="D167" s="23"/>
      <c r="E167" s="136"/>
      <c r="F167" s="23"/>
      <c r="G167" s="23"/>
      <c r="H167" s="136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136"/>
      <c r="U167" s="23"/>
      <c r="V167" s="136"/>
      <c r="W167" s="136"/>
      <c r="X167" s="136"/>
      <c r="Y167" s="136"/>
      <c r="Z167" s="136"/>
      <c r="AA167" s="136"/>
      <c r="AB167" s="136"/>
      <c r="AC167" s="136"/>
      <c r="AD167" s="136"/>
      <c r="AE167" s="136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</row>
    <row r="168" spans="1:60" x14ac:dyDescent="0.25">
      <c r="A168" s="23"/>
      <c r="B168" s="23"/>
      <c r="C168" s="23"/>
      <c r="D168" s="23"/>
      <c r="E168" s="136"/>
      <c r="F168" s="23"/>
      <c r="G168" s="23"/>
      <c r="H168" s="136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136"/>
      <c r="U168" s="23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</row>
    <row r="169" spans="1:60" x14ac:dyDescent="0.25">
      <c r="A169" s="23"/>
      <c r="B169" s="23"/>
      <c r="C169" s="23"/>
      <c r="D169" s="23"/>
      <c r="E169" s="136"/>
      <c r="F169" s="23"/>
      <c r="G169" s="23"/>
      <c r="H169" s="136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136"/>
      <c r="U169" s="23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</row>
    <row r="170" spans="1:60" x14ac:dyDescent="0.25">
      <c r="A170" s="23"/>
      <c r="B170" s="23"/>
      <c r="C170" s="23"/>
      <c r="D170" s="23"/>
      <c r="E170" s="136"/>
      <c r="F170" s="23"/>
      <c r="G170" s="23"/>
      <c r="H170" s="136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136"/>
      <c r="U170" s="23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</row>
    <row r="171" spans="1:60" x14ac:dyDescent="0.25">
      <c r="A171" s="23"/>
      <c r="B171" s="23"/>
      <c r="C171" s="23"/>
      <c r="D171" s="23"/>
      <c r="E171" s="136"/>
      <c r="F171" s="23"/>
      <c r="G171" s="23"/>
      <c r="H171" s="136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136"/>
      <c r="U171" s="23"/>
      <c r="V171" s="136"/>
      <c r="W171" s="136"/>
      <c r="X171" s="136"/>
      <c r="Y171" s="136"/>
      <c r="Z171" s="136"/>
      <c r="AA171" s="136"/>
      <c r="AB171" s="136"/>
      <c r="AC171" s="136"/>
      <c r="AD171" s="136"/>
      <c r="AE171" s="136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</row>
    <row r="172" spans="1:60" x14ac:dyDescent="0.25">
      <c r="A172" s="23"/>
      <c r="B172" s="23"/>
      <c r="C172" s="23"/>
      <c r="D172" s="23"/>
      <c r="E172" s="136"/>
      <c r="F172" s="23"/>
      <c r="G172" s="23"/>
      <c r="H172" s="136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136"/>
      <c r="U172" s="23"/>
      <c r="V172" s="136"/>
      <c r="W172" s="136"/>
      <c r="X172" s="136"/>
      <c r="Y172" s="136"/>
      <c r="Z172" s="136"/>
      <c r="AA172" s="136"/>
      <c r="AB172" s="136"/>
      <c r="AC172" s="136"/>
      <c r="AD172" s="136"/>
      <c r="AE172" s="136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</row>
    <row r="173" spans="1:60" x14ac:dyDescent="0.25">
      <c r="A173" s="23"/>
      <c r="B173" s="23"/>
      <c r="C173" s="23"/>
      <c r="D173" s="23"/>
      <c r="E173" s="136"/>
      <c r="F173" s="23"/>
      <c r="G173" s="23"/>
      <c r="H173" s="136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136"/>
      <c r="U173" s="23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</row>
    <row r="174" spans="1:60" x14ac:dyDescent="0.25">
      <c r="A174" s="23"/>
      <c r="B174" s="23"/>
      <c r="C174" s="23"/>
      <c r="D174" s="23"/>
      <c r="E174" s="136"/>
      <c r="F174" s="23"/>
      <c r="G174" s="23"/>
      <c r="H174" s="136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136"/>
      <c r="U174" s="23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</row>
    <row r="175" spans="1:60" x14ac:dyDescent="0.25">
      <c r="A175" s="23"/>
      <c r="B175" s="23"/>
      <c r="C175" s="23"/>
      <c r="D175" s="23"/>
      <c r="E175" s="136"/>
      <c r="F175" s="23"/>
      <c r="G175" s="23"/>
      <c r="H175" s="136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136"/>
      <c r="U175" s="23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</row>
    <row r="176" spans="1:60" x14ac:dyDescent="0.25">
      <c r="A176" s="23"/>
      <c r="B176" s="23"/>
      <c r="C176" s="23"/>
      <c r="D176" s="23"/>
      <c r="E176" s="136"/>
      <c r="F176" s="23"/>
      <c r="G176" s="23"/>
      <c r="H176" s="136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136"/>
      <c r="U176" s="23"/>
      <c r="V176" s="136"/>
      <c r="W176" s="136"/>
      <c r="X176" s="136"/>
      <c r="Y176" s="136"/>
      <c r="Z176" s="136"/>
      <c r="AA176" s="136"/>
      <c r="AB176" s="136"/>
      <c r="AC176" s="136"/>
      <c r="AD176" s="136"/>
      <c r="AE176" s="136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</row>
    <row r="177" spans="1:60" x14ac:dyDescent="0.25">
      <c r="A177" s="23"/>
      <c r="B177" s="23"/>
      <c r="C177" s="23"/>
      <c r="D177" s="23"/>
      <c r="E177" s="136"/>
      <c r="F177" s="23"/>
      <c r="G177" s="23"/>
      <c r="H177" s="136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136"/>
      <c r="U177" s="23"/>
      <c r="V177" s="136"/>
      <c r="W177" s="136"/>
      <c r="X177" s="136"/>
      <c r="Y177" s="136"/>
      <c r="Z177" s="136"/>
      <c r="AA177" s="136"/>
      <c r="AB177" s="136"/>
      <c r="AC177" s="136"/>
      <c r="AD177" s="136"/>
      <c r="AE177" s="136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</row>
    <row r="178" spans="1:60" x14ac:dyDescent="0.25">
      <c r="A178" s="23"/>
      <c r="B178" s="23"/>
      <c r="C178" s="23"/>
      <c r="D178" s="23"/>
      <c r="E178" s="136"/>
      <c r="F178" s="23"/>
      <c r="G178" s="23"/>
      <c r="H178" s="136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136"/>
      <c r="U178" s="23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</row>
    <row r="179" spans="1:60" x14ac:dyDescent="0.25">
      <c r="A179" s="23"/>
      <c r="B179" s="23"/>
      <c r="C179" s="23"/>
      <c r="D179" s="23"/>
      <c r="E179" s="136"/>
      <c r="F179" s="23"/>
      <c r="G179" s="23"/>
      <c r="H179" s="136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136"/>
      <c r="U179" s="23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</row>
    <row r="180" spans="1:60" x14ac:dyDescent="0.25">
      <c r="A180" s="23"/>
      <c r="B180" s="23"/>
      <c r="C180" s="23"/>
      <c r="D180" s="23"/>
      <c r="E180" s="136"/>
      <c r="F180" s="23"/>
      <c r="G180" s="23"/>
      <c r="H180" s="136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136"/>
      <c r="U180" s="23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</row>
    <row r="181" spans="1:60" x14ac:dyDescent="0.25">
      <c r="A181" s="23"/>
      <c r="B181" s="23"/>
      <c r="C181" s="23"/>
      <c r="D181" s="23"/>
      <c r="E181" s="136"/>
      <c r="F181" s="23"/>
      <c r="G181" s="23"/>
      <c r="H181" s="136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136"/>
      <c r="U181" s="23"/>
      <c r="V181" s="136"/>
      <c r="W181" s="136"/>
      <c r="X181" s="136"/>
      <c r="Y181" s="136"/>
      <c r="Z181" s="136"/>
      <c r="AA181" s="136"/>
      <c r="AB181" s="136"/>
      <c r="AC181" s="136"/>
      <c r="AD181" s="136"/>
      <c r="AE181" s="136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</row>
    <row r="182" spans="1:60" x14ac:dyDescent="0.25">
      <c r="A182" s="23"/>
      <c r="B182" s="23"/>
      <c r="C182" s="23"/>
      <c r="D182" s="23"/>
      <c r="E182" s="136"/>
      <c r="F182" s="23"/>
      <c r="G182" s="23"/>
      <c r="H182" s="136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136"/>
      <c r="U182" s="23"/>
      <c r="V182" s="136"/>
      <c r="W182" s="136"/>
      <c r="X182" s="136"/>
      <c r="Y182" s="136"/>
      <c r="Z182" s="136"/>
      <c r="AA182" s="136"/>
      <c r="AB182" s="136"/>
      <c r="AC182" s="136"/>
      <c r="AD182" s="136"/>
      <c r="AE182" s="136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</row>
    <row r="183" spans="1:60" x14ac:dyDescent="0.25">
      <c r="A183" s="23"/>
      <c r="B183" s="23"/>
      <c r="C183" s="23"/>
      <c r="D183" s="23"/>
      <c r="E183" s="136"/>
      <c r="F183" s="23"/>
      <c r="G183" s="23"/>
      <c r="H183" s="136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136"/>
      <c r="U183" s="23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</row>
    <row r="184" spans="1:60" x14ac:dyDescent="0.25">
      <c r="A184" s="23"/>
      <c r="B184" s="23"/>
      <c r="C184" s="23"/>
      <c r="D184" s="23"/>
      <c r="E184" s="136"/>
      <c r="F184" s="23"/>
      <c r="G184" s="23"/>
      <c r="H184" s="136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136"/>
      <c r="U184" s="23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</row>
    <row r="185" spans="1:60" x14ac:dyDescent="0.25">
      <c r="A185" s="23"/>
      <c r="B185" s="23"/>
      <c r="C185" s="23"/>
      <c r="D185" s="23"/>
      <c r="E185" s="136"/>
      <c r="F185" s="23"/>
      <c r="G185" s="23"/>
      <c r="H185" s="136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136"/>
      <c r="U185" s="23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</row>
    <row r="186" spans="1:60" x14ac:dyDescent="0.25">
      <c r="A186" s="23"/>
      <c r="B186" s="23"/>
      <c r="C186" s="23"/>
      <c r="D186" s="23"/>
      <c r="E186" s="136"/>
      <c r="F186" s="23"/>
      <c r="G186" s="23"/>
      <c r="H186" s="136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136"/>
      <c r="U186" s="23"/>
      <c r="V186" s="136"/>
      <c r="W186" s="136"/>
      <c r="X186" s="136"/>
      <c r="Y186" s="136"/>
      <c r="Z186" s="136"/>
      <c r="AA186" s="136"/>
      <c r="AB186" s="136"/>
      <c r="AC186" s="136"/>
      <c r="AD186" s="136"/>
      <c r="AE186" s="136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</row>
    <row r="187" spans="1:60" x14ac:dyDescent="0.25">
      <c r="A187" s="23"/>
      <c r="B187" s="23"/>
      <c r="C187" s="23"/>
      <c r="D187" s="23"/>
      <c r="E187" s="136"/>
      <c r="F187" s="23"/>
      <c r="G187" s="23"/>
      <c r="H187" s="136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136"/>
      <c r="U187" s="23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</row>
    <row r="188" spans="1:60" x14ac:dyDescent="0.25">
      <c r="A188" s="23"/>
      <c r="B188" s="23"/>
      <c r="C188" s="23"/>
      <c r="D188" s="23"/>
      <c r="E188" s="136"/>
      <c r="F188" s="23"/>
      <c r="G188" s="23"/>
      <c r="H188" s="136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136"/>
      <c r="U188" s="23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</row>
    <row r="189" spans="1:60" x14ac:dyDescent="0.25">
      <c r="A189" s="23"/>
      <c r="B189" s="23"/>
      <c r="C189" s="23"/>
      <c r="D189" s="23"/>
      <c r="E189" s="136"/>
      <c r="F189" s="23"/>
      <c r="G189" s="23"/>
      <c r="H189" s="136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136"/>
      <c r="U189" s="23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</row>
    <row r="190" spans="1:60" x14ac:dyDescent="0.25">
      <c r="A190" s="23"/>
      <c r="B190" s="23"/>
      <c r="C190" s="23"/>
      <c r="D190" s="23"/>
      <c r="E190" s="136"/>
      <c r="F190" s="23"/>
      <c r="G190" s="23"/>
      <c r="H190" s="136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136"/>
      <c r="U190" s="23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</row>
    <row r="191" spans="1:60" x14ac:dyDescent="0.25">
      <c r="A191" s="23"/>
      <c r="B191" s="23"/>
      <c r="C191" s="23"/>
      <c r="D191" s="23"/>
      <c r="E191" s="136"/>
      <c r="F191" s="23"/>
      <c r="G191" s="23"/>
      <c r="H191" s="136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136"/>
      <c r="U191" s="23"/>
      <c r="V191" s="136"/>
      <c r="W191" s="136"/>
      <c r="X191" s="136"/>
      <c r="Y191" s="136"/>
      <c r="Z191" s="136"/>
      <c r="AA191" s="136"/>
      <c r="AB191" s="136"/>
      <c r="AC191" s="136"/>
      <c r="AD191" s="136"/>
      <c r="AE191" s="136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</row>
    <row r="192" spans="1:60" x14ac:dyDescent="0.25">
      <c r="A192" s="23"/>
      <c r="B192" s="23"/>
      <c r="C192" s="23"/>
      <c r="D192" s="23"/>
      <c r="E192" s="136"/>
      <c r="F192" s="23"/>
      <c r="G192" s="23"/>
      <c r="H192" s="136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136"/>
      <c r="U192" s="23"/>
      <c r="V192" s="136"/>
      <c r="W192" s="136"/>
      <c r="X192" s="136"/>
      <c r="Y192" s="136"/>
      <c r="Z192" s="136"/>
      <c r="AA192" s="136"/>
      <c r="AB192" s="136"/>
      <c r="AC192" s="136"/>
      <c r="AD192" s="136"/>
      <c r="AE192" s="136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</row>
  </sheetData>
  <conditionalFormatting sqref="T7">
    <cfRule type="expression" dxfId="4" priority="7">
      <formula>$T$7&gt;$T$8</formula>
    </cfRule>
  </conditionalFormatting>
  <conditionalFormatting sqref="T9:U9 W8:AC8 D8:U8">
    <cfRule type="expression" dxfId="3" priority="8">
      <formula>$T$7&lt;=$T$8</formula>
    </cfRule>
  </conditionalFormatting>
  <conditionalFormatting sqref="T4:U4 W3:AC3 D3:U3">
    <cfRule type="expression" dxfId="2" priority="4">
      <formula>$T$2&lt;=$T$3</formula>
    </cfRule>
  </conditionalFormatting>
  <conditionalFormatting sqref="T2">
    <cfRule type="expression" dxfId="1" priority="3">
      <formula>$T$2&gt;$T$3</formula>
    </cfRule>
  </conditionalFormatting>
  <conditionalFormatting sqref="T12">
    <cfRule type="expression" dxfId="0" priority="2">
      <formula>$T$7&gt;$T$8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0" tint="-0.499984740745262"/>
  </sheetPr>
  <dimension ref="A1:BR2510"/>
  <sheetViews>
    <sheetView topLeftCell="AK1" zoomScaleNormal="100" workbookViewId="0">
      <selection activeCell="AT4" sqref="AT4"/>
    </sheetView>
  </sheetViews>
  <sheetFormatPr defaultColWidth="9.140625" defaultRowHeight="12.75" x14ac:dyDescent="0.2"/>
  <cols>
    <col min="1" max="1" width="13.5703125" style="5" bestFit="1" customWidth="1"/>
    <col min="2" max="3" width="9.140625" style="5"/>
    <col min="4" max="4" width="15.5703125" style="5" customWidth="1"/>
    <col min="5" max="9" width="9.140625" style="5"/>
    <col min="10" max="10" width="10.28515625" style="5" bestFit="1" customWidth="1"/>
    <col min="11" max="11" width="9.140625" style="5"/>
    <col min="12" max="12" width="26.42578125" style="5" bestFit="1" customWidth="1"/>
    <col min="13" max="14" width="16.5703125" style="5" bestFit="1" customWidth="1"/>
    <col min="15" max="15" width="17.42578125" style="5" bestFit="1" customWidth="1"/>
    <col min="16" max="16" width="27.42578125" style="5" customWidth="1"/>
    <col min="17" max="17" width="9.140625" style="5"/>
    <col min="18" max="18" width="13.28515625" style="5" bestFit="1" customWidth="1"/>
    <col min="19" max="19" width="22" style="5" bestFit="1" customWidth="1"/>
    <col min="20" max="21" width="20.42578125" style="5" customWidth="1"/>
    <col min="22" max="22" width="27.28515625" style="5" customWidth="1"/>
    <col min="23" max="23" width="20.42578125" style="5" customWidth="1"/>
    <col min="24" max="24" width="9.140625" style="5"/>
    <col min="25" max="25" width="23" style="5" bestFit="1" customWidth="1"/>
    <col min="26" max="26" width="21.140625" style="5" bestFit="1" customWidth="1"/>
    <col min="27" max="27" width="9.140625" style="5"/>
    <col min="28" max="28" width="13.140625" style="5" bestFit="1" customWidth="1"/>
    <col min="29" max="29" width="29.28515625" style="5" customWidth="1"/>
    <col min="30" max="35" width="9.140625" style="5"/>
    <col min="36" max="36" width="24.7109375" style="5" bestFit="1" customWidth="1"/>
    <col min="37" max="37" width="16.28515625" style="5" bestFit="1" customWidth="1"/>
    <col min="38" max="39" width="9.140625" style="5"/>
    <col min="40" max="40" width="24" style="5" bestFit="1" customWidth="1"/>
    <col min="41" max="41" width="9.140625" style="5"/>
    <col min="42" max="42" width="41" style="5" bestFit="1" customWidth="1"/>
    <col min="43" max="43" width="18.28515625" style="5" bestFit="1" customWidth="1"/>
    <col min="44" max="44" width="9.140625" style="5"/>
    <col min="45" max="45" width="18.28515625" style="5" bestFit="1" customWidth="1"/>
    <col min="46" max="46" width="11.85546875" style="5" bestFit="1" customWidth="1"/>
    <col min="47" max="16384" width="9.140625" style="5"/>
  </cols>
  <sheetData>
    <row r="1" spans="1:70" ht="15" x14ac:dyDescent="0.25">
      <c r="A1" s="48" t="s">
        <v>2699</v>
      </c>
      <c r="B1" s="48" t="s">
        <v>10</v>
      </c>
      <c r="C1" s="48" t="s">
        <v>47</v>
      </c>
      <c r="D1" s="48" t="s">
        <v>2684</v>
      </c>
      <c r="E1" s="11"/>
      <c r="F1" s="79" t="s">
        <v>10</v>
      </c>
      <c r="G1" s="78" t="s">
        <v>170</v>
      </c>
      <c r="H1" s="11"/>
      <c r="I1" s="13" t="s">
        <v>10</v>
      </c>
      <c r="J1" s="65" t="s">
        <v>50</v>
      </c>
      <c r="K1" s="11"/>
      <c r="L1" s="12" t="s">
        <v>3207</v>
      </c>
      <c r="M1" s="11"/>
      <c r="N1" s="11"/>
      <c r="O1" s="11"/>
      <c r="P1" s="11"/>
      <c r="Q1" s="11"/>
      <c r="R1" s="12" t="s">
        <v>1</v>
      </c>
      <c r="T1" s="11"/>
      <c r="U1" s="11"/>
      <c r="V1" s="11"/>
      <c r="W1" s="11"/>
      <c r="X1" s="11"/>
      <c r="Y1" s="47" t="s">
        <v>65</v>
      </c>
      <c r="Z1" s="48" t="s">
        <v>66</v>
      </c>
      <c r="AA1" s="11"/>
      <c r="AB1" s="64" t="s">
        <v>80</v>
      </c>
      <c r="AC1" s="65" t="s">
        <v>169</v>
      </c>
      <c r="AD1" s="74" t="s">
        <v>70</v>
      </c>
      <c r="AE1" s="74" t="s">
        <v>71</v>
      </c>
      <c r="AF1" s="74" t="s">
        <v>72</v>
      </c>
      <c r="AG1" s="74" t="s">
        <v>73</v>
      </c>
      <c r="AH1" s="75" t="s">
        <v>74</v>
      </c>
      <c r="AI1" s="11"/>
      <c r="AJ1" s="54" t="s">
        <v>86</v>
      </c>
      <c r="AK1" s="55" t="s">
        <v>87</v>
      </c>
      <c r="AL1" s="94" t="s">
        <v>75</v>
      </c>
      <c r="AM1" s="11"/>
      <c r="AN1" s="13" t="s">
        <v>2921</v>
      </c>
      <c r="AO1" s="11"/>
      <c r="AP1" s="13" t="s">
        <v>2928</v>
      </c>
      <c r="AQ1" s="13" t="s">
        <v>2929</v>
      </c>
      <c r="AR1" s="11"/>
      <c r="AS1" s="13" t="s">
        <v>2929</v>
      </c>
      <c r="AT1" s="14" t="s">
        <v>3186</v>
      </c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</row>
    <row r="2" spans="1:70" ht="15" customHeight="1" x14ac:dyDescent="0.25">
      <c r="A2">
        <v>1</v>
      </c>
      <c r="B2" t="s">
        <v>2661</v>
      </c>
      <c r="C2">
        <v>1</v>
      </c>
      <c r="D2" s="128">
        <v>1.0000500033E-4</v>
      </c>
      <c r="E2" s="11"/>
      <c r="F2" s="3" t="s">
        <v>171</v>
      </c>
      <c r="G2" s="3">
        <v>1.3210009999999999E-2</v>
      </c>
      <c r="H2" s="11"/>
      <c r="I2" s="80">
        <v>1</v>
      </c>
      <c r="J2" s="81">
        <v>0.4</v>
      </c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52">
        <v>1</v>
      </c>
      <c r="Z2" s="49">
        <v>7.0000000000000001E-3</v>
      </c>
      <c r="AA2" s="11"/>
      <c r="AB2" s="56" t="s">
        <v>116</v>
      </c>
      <c r="AC2" s="66" t="s">
        <v>117</v>
      </c>
      <c r="AD2" s="58">
        <v>0</v>
      </c>
      <c r="AE2" s="58">
        <v>0.12</v>
      </c>
      <c r="AF2" s="58">
        <v>0.24</v>
      </c>
      <c r="AG2" s="58">
        <v>50</v>
      </c>
      <c r="AH2" s="59">
        <v>0</v>
      </c>
      <c r="AI2" s="11"/>
      <c r="AJ2" s="54" t="s">
        <v>84</v>
      </c>
      <c r="AK2" s="55" t="s">
        <v>83</v>
      </c>
      <c r="AL2" s="95">
        <v>0</v>
      </c>
      <c r="AM2" s="11"/>
      <c r="AN2" s="203" t="s">
        <v>2922</v>
      </c>
      <c r="AO2" s="11"/>
      <c r="AP2" s="13" t="s">
        <v>2930</v>
      </c>
      <c r="AQ2" s="213" t="s">
        <v>2931</v>
      </c>
      <c r="AR2" s="11"/>
      <c r="AS2" s="94" t="s">
        <v>2947</v>
      </c>
      <c r="AT2" s="210">
        <v>0.5</v>
      </c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70" ht="15" customHeight="1" x14ac:dyDescent="0.25">
      <c r="A3">
        <v>1</v>
      </c>
      <c r="B3" t="s">
        <v>2661</v>
      </c>
      <c r="C3">
        <v>2</v>
      </c>
      <c r="D3" s="128">
        <v>2.0001000067E-4</v>
      </c>
      <c r="E3" s="11"/>
      <c r="F3" s="3" t="s">
        <v>172</v>
      </c>
      <c r="G3" s="3">
        <v>2.3749880000000001E-2</v>
      </c>
      <c r="H3" s="11"/>
      <c r="I3" s="76">
        <v>2</v>
      </c>
      <c r="J3" s="69">
        <v>0.7</v>
      </c>
      <c r="K3" s="11"/>
      <c r="L3" s="222" t="s">
        <v>3204</v>
      </c>
      <c r="M3" s="222" t="s">
        <v>3202</v>
      </c>
      <c r="N3" s="222" t="s">
        <v>3205</v>
      </c>
      <c r="O3" s="222" t="s">
        <v>3206</v>
      </c>
      <c r="P3" s="250" t="s">
        <v>3219</v>
      </c>
      <c r="Q3" s="11"/>
      <c r="R3" s="249" t="s">
        <v>3208</v>
      </c>
      <c r="S3" s="248" t="s">
        <v>3218</v>
      </c>
      <c r="T3" s="248" t="s">
        <v>46</v>
      </c>
      <c r="U3" s="248" t="s">
        <v>3</v>
      </c>
      <c r="V3" s="248" t="s">
        <v>4</v>
      </c>
      <c r="W3" s="248" t="s">
        <v>5</v>
      </c>
      <c r="X3" s="11"/>
      <c r="Y3" s="52">
        <v>2</v>
      </c>
      <c r="Z3" s="49">
        <v>7.0000000000000001E-3</v>
      </c>
      <c r="AA3" s="11"/>
      <c r="AB3" s="56" t="s">
        <v>78</v>
      </c>
      <c r="AC3" s="66" t="s">
        <v>118</v>
      </c>
      <c r="AD3" s="58">
        <v>0</v>
      </c>
      <c r="AE3" s="58">
        <v>0.12</v>
      </c>
      <c r="AF3" s="58">
        <v>0.24</v>
      </c>
      <c r="AG3" s="58">
        <v>50</v>
      </c>
      <c r="AH3" s="59">
        <v>0</v>
      </c>
      <c r="AI3" s="11"/>
      <c r="AJ3" s="68" t="s">
        <v>88</v>
      </c>
      <c r="AK3" s="57" t="s">
        <v>85</v>
      </c>
      <c r="AL3" s="72">
        <v>0</v>
      </c>
      <c r="AM3" s="11"/>
      <c r="AN3" s="203" t="s">
        <v>2923</v>
      </c>
      <c r="AO3" s="11"/>
      <c r="AP3" s="13" t="s">
        <v>2932</v>
      </c>
      <c r="AQ3" s="213" t="s">
        <v>2933</v>
      </c>
      <c r="AR3" s="11"/>
      <c r="AS3" s="203" t="s">
        <v>2937</v>
      </c>
      <c r="AT3" s="211">
        <v>0.55000000000000004</v>
      </c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</row>
    <row r="4" spans="1:70" ht="15" x14ac:dyDescent="0.25">
      <c r="A4">
        <v>1</v>
      </c>
      <c r="B4" t="s">
        <v>2661</v>
      </c>
      <c r="C4">
        <v>3</v>
      </c>
      <c r="D4" s="128">
        <v>3.0001500099999999E-4</v>
      </c>
      <c r="E4" s="11"/>
      <c r="F4" s="3" t="s">
        <v>173</v>
      </c>
      <c r="G4" s="3">
        <v>4.3910339999999999E-2</v>
      </c>
      <c r="H4" s="11"/>
      <c r="I4" s="76">
        <v>3</v>
      </c>
      <c r="J4" s="69">
        <v>0.7</v>
      </c>
      <c r="K4" s="11"/>
      <c r="L4" s="13" t="s">
        <v>2</v>
      </c>
      <c r="M4" s="15">
        <v>5.0000000000000001E-3</v>
      </c>
      <c r="N4" s="226"/>
      <c r="O4" s="14">
        <v>0.5</v>
      </c>
      <c r="P4" s="248" t="s">
        <v>3218</v>
      </c>
      <c r="Q4" s="11"/>
      <c r="R4" s="13" t="s">
        <v>6</v>
      </c>
      <c r="S4" s="13">
        <v>0</v>
      </c>
      <c r="T4" s="14">
        <v>0.01</v>
      </c>
      <c r="U4" s="14">
        <v>0.06</v>
      </c>
      <c r="V4" s="14">
        <v>7.0000000000000007E-2</v>
      </c>
      <c r="W4" s="14">
        <v>0.1</v>
      </c>
      <c r="X4" s="11"/>
      <c r="Y4" s="52">
        <v>3</v>
      </c>
      <c r="Z4" s="49">
        <v>7.0000000000000001E-3</v>
      </c>
      <c r="AA4" s="11"/>
      <c r="AB4" s="56" t="s">
        <v>119</v>
      </c>
      <c r="AC4" s="66" t="s">
        <v>120</v>
      </c>
      <c r="AD4" s="58">
        <v>0</v>
      </c>
      <c r="AE4" s="58">
        <v>0.12</v>
      </c>
      <c r="AF4" s="58">
        <v>0.24</v>
      </c>
      <c r="AG4" s="58">
        <v>50</v>
      </c>
      <c r="AH4" s="59">
        <v>0</v>
      </c>
      <c r="AI4" s="11"/>
      <c r="AJ4" s="68" t="s">
        <v>82</v>
      </c>
      <c r="AK4" s="57" t="s">
        <v>77</v>
      </c>
      <c r="AL4" s="72">
        <v>0.25</v>
      </c>
      <c r="AM4" s="11"/>
      <c r="AN4" s="203" t="s">
        <v>2924</v>
      </c>
      <c r="AO4" s="11"/>
      <c r="AP4" s="13" t="s">
        <v>2934</v>
      </c>
      <c r="AQ4" s="213" t="s">
        <v>2935</v>
      </c>
      <c r="AR4" s="11"/>
      <c r="AS4" s="203" t="s">
        <v>2933</v>
      </c>
      <c r="AT4" s="211">
        <v>0.7</v>
      </c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</row>
    <row r="5" spans="1:70" ht="15" x14ac:dyDescent="0.25">
      <c r="A5">
        <v>1</v>
      </c>
      <c r="B5" t="s">
        <v>2661</v>
      </c>
      <c r="C5">
        <v>4</v>
      </c>
      <c r="D5" s="128">
        <v>4.0002000132999998E-4</v>
      </c>
      <c r="E5" s="11"/>
      <c r="F5" s="3" t="s">
        <v>174</v>
      </c>
      <c r="G5" s="3">
        <v>0.16323687000000001</v>
      </c>
      <c r="H5" s="11"/>
      <c r="I5" s="76">
        <v>4</v>
      </c>
      <c r="J5" s="69">
        <v>0.7</v>
      </c>
      <c r="K5" s="11"/>
      <c r="L5" s="13" t="s">
        <v>3194</v>
      </c>
      <c r="M5" s="15">
        <v>0.04</v>
      </c>
      <c r="N5" s="226"/>
      <c r="O5" s="14">
        <v>0.15</v>
      </c>
      <c r="P5" s="249" t="s">
        <v>46</v>
      </c>
      <c r="Q5" s="11"/>
      <c r="R5" s="13" t="s">
        <v>7</v>
      </c>
      <c r="S5" s="15">
        <v>5.0000000000000001E-3</v>
      </c>
      <c r="T5" s="14">
        <v>0.05</v>
      </c>
      <c r="U5" s="14">
        <v>0.08</v>
      </c>
      <c r="V5" s="14">
        <v>7.0000000000000007E-2</v>
      </c>
      <c r="W5" s="14">
        <v>0.12</v>
      </c>
      <c r="X5" s="11"/>
      <c r="Y5" s="52">
        <v>4</v>
      </c>
      <c r="Z5" s="49">
        <v>7.0000000000000001E-3</v>
      </c>
      <c r="AA5" s="11"/>
      <c r="AB5" s="56" t="s">
        <v>121</v>
      </c>
      <c r="AC5" s="66" t="s">
        <v>122</v>
      </c>
      <c r="AD5" s="58">
        <v>0</v>
      </c>
      <c r="AE5" s="58">
        <v>0.12</v>
      </c>
      <c r="AF5" s="58">
        <v>0.24</v>
      </c>
      <c r="AG5" s="58">
        <v>50</v>
      </c>
      <c r="AH5" s="59">
        <v>0</v>
      </c>
      <c r="AI5" s="11"/>
      <c r="AJ5" s="70" t="s">
        <v>81</v>
      </c>
      <c r="AK5" s="61" t="s">
        <v>83</v>
      </c>
      <c r="AL5" s="73">
        <v>0.25</v>
      </c>
      <c r="AM5" s="11"/>
      <c r="AN5" s="203" t="s">
        <v>2925</v>
      </c>
      <c r="AO5" s="11"/>
      <c r="AP5" s="13" t="s">
        <v>2936</v>
      </c>
      <c r="AQ5" s="213" t="s">
        <v>2937</v>
      </c>
      <c r="AR5" s="11"/>
      <c r="AS5" s="204" t="s">
        <v>2935</v>
      </c>
      <c r="AT5" s="212">
        <v>0.8</v>
      </c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70" ht="15" x14ac:dyDescent="0.25">
      <c r="A6">
        <v>1</v>
      </c>
      <c r="B6" t="s">
        <v>2661</v>
      </c>
      <c r="C6">
        <v>5</v>
      </c>
      <c r="D6" s="128">
        <v>5.0002500167000005E-4</v>
      </c>
      <c r="E6" s="11"/>
      <c r="F6" s="3" t="s">
        <v>175</v>
      </c>
      <c r="G6" s="3">
        <v>0.35</v>
      </c>
      <c r="H6" s="11"/>
      <c r="I6" s="76">
        <v>5</v>
      </c>
      <c r="J6" s="69">
        <v>1</v>
      </c>
      <c r="K6" s="11"/>
      <c r="L6" s="13" t="s">
        <v>3195</v>
      </c>
      <c r="M6" s="15">
        <v>0.32</v>
      </c>
      <c r="N6" s="14">
        <v>0.5</v>
      </c>
      <c r="O6" s="14">
        <v>1.2</v>
      </c>
      <c r="P6" s="249" t="s">
        <v>3</v>
      </c>
      <c r="Q6" s="11"/>
      <c r="R6" s="13" t="s">
        <v>8</v>
      </c>
      <c r="S6" s="15">
        <v>1.4999999999999999E-2</v>
      </c>
      <c r="T6" s="15">
        <v>7.4999999999999997E-2</v>
      </c>
      <c r="U6" s="14">
        <v>0.1</v>
      </c>
      <c r="V6" s="14">
        <v>0.08</v>
      </c>
      <c r="W6" s="14">
        <v>0.15</v>
      </c>
      <c r="X6" s="11"/>
      <c r="Y6" s="52">
        <v>5</v>
      </c>
      <c r="Z6" s="49">
        <v>8.0000000000000002E-3</v>
      </c>
      <c r="AA6" s="11"/>
      <c r="AB6" s="56" t="s">
        <v>79</v>
      </c>
      <c r="AC6" s="66" t="s">
        <v>123</v>
      </c>
      <c r="AD6" s="58">
        <v>0</v>
      </c>
      <c r="AE6" s="58">
        <v>0.12</v>
      </c>
      <c r="AF6" s="58">
        <v>0.24</v>
      </c>
      <c r="AG6" s="58">
        <v>50</v>
      </c>
      <c r="AH6" s="59">
        <v>0</v>
      </c>
      <c r="AI6" s="11"/>
      <c r="AJ6" s="11"/>
      <c r="AK6" s="11"/>
      <c r="AL6" s="11"/>
      <c r="AM6" s="11"/>
      <c r="AN6" s="204" t="s">
        <v>2926</v>
      </c>
      <c r="AO6" s="11"/>
      <c r="AP6" s="13" t="s">
        <v>2938</v>
      </c>
      <c r="AQ6" s="213" t="s">
        <v>2937</v>
      </c>
      <c r="AR6" s="11"/>
      <c r="AS6" s="209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</row>
    <row r="7" spans="1:70" ht="15" x14ac:dyDescent="0.25">
      <c r="A7">
        <v>1</v>
      </c>
      <c r="B7" t="s">
        <v>2661</v>
      </c>
      <c r="C7">
        <v>6</v>
      </c>
      <c r="D7" s="128">
        <v>6.1739176329000001E-4</v>
      </c>
      <c r="E7" s="11"/>
      <c r="F7" s="3" t="s">
        <v>176</v>
      </c>
      <c r="G7" s="3">
        <v>1</v>
      </c>
      <c r="H7" s="11"/>
      <c r="I7" s="76">
        <v>6</v>
      </c>
      <c r="J7" s="69">
        <v>1</v>
      </c>
      <c r="K7" s="11"/>
      <c r="L7" s="13" t="s">
        <v>3196</v>
      </c>
      <c r="M7" s="15">
        <v>7.0000000000000007E-2</v>
      </c>
      <c r="N7" s="14">
        <v>0.8</v>
      </c>
      <c r="O7" s="14">
        <v>0.75</v>
      </c>
      <c r="P7" s="249" t="s">
        <v>3</v>
      </c>
      <c r="Q7" s="11"/>
      <c r="R7" s="11"/>
      <c r="S7" s="11"/>
      <c r="T7" s="11"/>
      <c r="U7" s="11"/>
      <c r="V7" s="11"/>
      <c r="W7" s="11"/>
      <c r="X7" s="11"/>
      <c r="Y7" s="52">
        <v>6</v>
      </c>
      <c r="Z7" s="49">
        <v>8.0000000000000002E-3</v>
      </c>
      <c r="AA7" s="11"/>
      <c r="AB7" s="56" t="s">
        <v>124</v>
      </c>
      <c r="AC7" s="66" t="s">
        <v>125</v>
      </c>
      <c r="AD7" s="58">
        <v>0</v>
      </c>
      <c r="AE7" s="58">
        <v>0.03</v>
      </c>
      <c r="AF7" s="58">
        <v>0.16</v>
      </c>
      <c r="AG7" s="58">
        <v>35</v>
      </c>
      <c r="AH7" s="59">
        <v>0</v>
      </c>
      <c r="AI7" s="11"/>
      <c r="AJ7" s="11"/>
      <c r="AK7" s="11"/>
      <c r="AL7" s="11"/>
      <c r="AM7" s="11"/>
      <c r="AN7" s="11"/>
      <c r="AO7" s="11"/>
      <c r="AP7" s="13" t="s">
        <v>2939</v>
      </c>
      <c r="AQ7" s="213" t="s">
        <v>2935</v>
      </c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</row>
    <row r="8" spans="1:70" ht="15" x14ac:dyDescent="0.25">
      <c r="A8">
        <v>1</v>
      </c>
      <c r="B8" t="s">
        <v>2661</v>
      </c>
      <c r="C8">
        <v>7</v>
      </c>
      <c r="D8" s="128">
        <v>8.3069262069E-4</v>
      </c>
      <c r="E8" s="11"/>
      <c r="F8" s="3" t="s">
        <v>177</v>
      </c>
      <c r="G8" s="3">
        <v>1.03E-4</v>
      </c>
      <c r="H8" s="11"/>
      <c r="I8" s="76">
        <v>7</v>
      </c>
      <c r="J8" s="69">
        <v>1</v>
      </c>
      <c r="K8" s="11"/>
      <c r="L8" s="13" t="s">
        <v>3197</v>
      </c>
      <c r="M8" s="15">
        <v>0.4</v>
      </c>
      <c r="N8" s="14">
        <v>0.4</v>
      </c>
      <c r="O8" s="14">
        <v>1.5</v>
      </c>
      <c r="P8" s="249" t="s">
        <v>5</v>
      </c>
      <c r="Q8" s="11"/>
      <c r="R8" s="11"/>
      <c r="S8" s="11"/>
      <c r="T8" s="11"/>
      <c r="U8" s="11"/>
      <c r="V8" s="11"/>
      <c r="W8" s="11"/>
      <c r="X8" s="11"/>
      <c r="Y8" s="52">
        <v>7</v>
      </c>
      <c r="Z8" s="49">
        <v>8.0000000000000002E-3</v>
      </c>
      <c r="AA8" s="11"/>
      <c r="AB8" s="56" t="s">
        <v>126</v>
      </c>
      <c r="AC8" s="66" t="s">
        <v>127</v>
      </c>
      <c r="AD8" s="58">
        <v>0.04</v>
      </c>
      <c r="AE8" s="58">
        <v>0</v>
      </c>
      <c r="AF8" s="58">
        <v>0</v>
      </c>
      <c r="AG8" s="58">
        <v>1</v>
      </c>
      <c r="AH8" s="59">
        <v>0</v>
      </c>
      <c r="AI8" s="11"/>
      <c r="AJ8" s="11"/>
      <c r="AK8" s="11"/>
      <c r="AL8" s="11"/>
      <c r="AM8" s="11"/>
      <c r="AN8" s="11"/>
      <c r="AO8" s="11"/>
      <c r="AP8" s="13" t="s">
        <v>2940</v>
      </c>
      <c r="AQ8" s="213" t="s">
        <v>2937</v>
      </c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</row>
    <row r="9" spans="1:70" ht="15" x14ac:dyDescent="0.25">
      <c r="A9">
        <v>1</v>
      </c>
      <c r="B9" t="s">
        <v>2661</v>
      </c>
      <c r="C9">
        <v>8</v>
      </c>
      <c r="D9" s="128">
        <v>1.07361870451E-3</v>
      </c>
      <c r="E9" s="11"/>
      <c r="F9" s="3" t="s">
        <v>178</v>
      </c>
      <c r="G9" s="3">
        <v>2.0599999999999999E-4</v>
      </c>
      <c r="H9" s="11"/>
      <c r="I9" s="76">
        <v>8</v>
      </c>
      <c r="J9" s="69">
        <v>1</v>
      </c>
      <c r="K9" s="11"/>
      <c r="L9" s="13" t="s">
        <v>3198</v>
      </c>
      <c r="M9" s="15">
        <v>0.18</v>
      </c>
      <c r="N9" s="14">
        <v>0.4</v>
      </c>
      <c r="O9" s="14">
        <v>0.7</v>
      </c>
      <c r="P9" s="249" t="s">
        <v>5</v>
      </c>
      <c r="Q9" s="11"/>
      <c r="R9" s="11"/>
      <c r="S9" s="11"/>
      <c r="T9" s="11"/>
      <c r="U9" s="11"/>
      <c r="V9" s="11"/>
      <c r="W9" s="11"/>
      <c r="X9" s="11"/>
      <c r="Y9" s="52">
        <v>8</v>
      </c>
      <c r="Z9" s="50">
        <v>0.01</v>
      </c>
      <c r="AA9" s="11"/>
      <c r="AB9" s="56" t="s">
        <v>128</v>
      </c>
      <c r="AC9" s="66" t="s">
        <v>129</v>
      </c>
      <c r="AD9" s="58">
        <v>0</v>
      </c>
      <c r="AE9" s="58">
        <v>0.12</v>
      </c>
      <c r="AF9" s="58">
        <v>0.24</v>
      </c>
      <c r="AG9" s="58">
        <v>50</v>
      </c>
      <c r="AH9" s="59">
        <v>0</v>
      </c>
      <c r="AI9" s="11"/>
      <c r="AJ9" s="11"/>
      <c r="AK9" s="11"/>
      <c r="AL9" s="11"/>
      <c r="AM9" s="11"/>
      <c r="AN9" s="11"/>
      <c r="AO9" s="11"/>
      <c r="AP9" s="13" t="s">
        <v>2941</v>
      </c>
      <c r="AQ9" s="213" t="s">
        <v>2933</v>
      </c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</row>
    <row r="10" spans="1:70" ht="15" x14ac:dyDescent="0.25">
      <c r="A10">
        <v>1</v>
      </c>
      <c r="B10" t="s">
        <v>2661</v>
      </c>
      <c r="C10">
        <v>9</v>
      </c>
      <c r="D10" s="128">
        <v>1.3471608195399999E-3</v>
      </c>
      <c r="E10" s="11"/>
      <c r="F10" s="3" t="s">
        <v>179</v>
      </c>
      <c r="G10" s="3">
        <v>5.1500000000000005E-4</v>
      </c>
      <c r="H10" s="11"/>
      <c r="I10" s="76">
        <v>9</v>
      </c>
      <c r="J10" s="69">
        <v>1.04</v>
      </c>
      <c r="K10" s="11"/>
      <c r="L10" s="13" t="s">
        <v>3203</v>
      </c>
      <c r="M10" s="15">
        <v>0.18</v>
      </c>
      <c r="N10" s="14">
        <v>0.4</v>
      </c>
      <c r="O10" s="14">
        <v>0.7</v>
      </c>
      <c r="P10" s="249" t="s">
        <v>46</v>
      </c>
      <c r="Q10" s="11"/>
      <c r="R10" s="11"/>
      <c r="S10" s="11"/>
      <c r="T10" s="11"/>
      <c r="U10" s="11"/>
      <c r="V10" s="11"/>
      <c r="W10" s="11"/>
      <c r="X10" s="11"/>
      <c r="Y10" s="52">
        <v>9</v>
      </c>
      <c r="Z10" s="50">
        <v>0.01</v>
      </c>
      <c r="AA10" s="11"/>
      <c r="AB10" s="56" t="s">
        <v>130</v>
      </c>
      <c r="AC10" s="66" t="s">
        <v>131</v>
      </c>
      <c r="AD10" s="58">
        <v>0</v>
      </c>
      <c r="AE10" s="58">
        <v>0.12</v>
      </c>
      <c r="AF10" s="58">
        <v>0.24</v>
      </c>
      <c r="AG10" s="58">
        <v>50</v>
      </c>
      <c r="AH10" s="59">
        <v>0</v>
      </c>
      <c r="AI10" s="11"/>
      <c r="AJ10" s="11"/>
      <c r="AK10" s="11"/>
      <c r="AL10" s="11"/>
      <c r="AM10" s="11"/>
      <c r="AN10" s="11"/>
      <c r="AO10" s="11"/>
      <c r="AP10" s="13" t="s">
        <v>2942</v>
      </c>
      <c r="AQ10" s="213" t="s">
        <v>2933</v>
      </c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</row>
    <row r="11" spans="1:70" ht="15" x14ac:dyDescent="0.25">
      <c r="A11">
        <v>1</v>
      </c>
      <c r="B11" t="s">
        <v>2661</v>
      </c>
      <c r="C11">
        <v>10</v>
      </c>
      <c r="D11" s="128">
        <v>1.6528032470700001E-3</v>
      </c>
      <c r="E11" s="11"/>
      <c r="F11" s="3" t="s">
        <v>180</v>
      </c>
      <c r="G11" s="3">
        <v>6.2074999999999999E-4</v>
      </c>
      <c r="H11" s="11"/>
      <c r="I11" s="76">
        <v>10</v>
      </c>
      <c r="J11" s="69">
        <v>1.31</v>
      </c>
      <c r="K11" s="11"/>
      <c r="L11" s="13" t="s">
        <v>3199</v>
      </c>
      <c r="M11" s="15">
        <v>0.18</v>
      </c>
      <c r="N11" s="14">
        <v>0.4</v>
      </c>
      <c r="O11" s="14">
        <v>0.7</v>
      </c>
      <c r="P11" s="249" t="s">
        <v>4</v>
      </c>
      <c r="Q11" s="11"/>
      <c r="R11" s="11"/>
      <c r="S11" s="11"/>
      <c r="T11" s="11"/>
      <c r="U11" s="11"/>
      <c r="V11" s="11"/>
      <c r="W11" s="11"/>
      <c r="X11" s="11"/>
      <c r="Y11" s="52">
        <v>10</v>
      </c>
      <c r="Z11" s="50">
        <v>0.01</v>
      </c>
      <c r="AA11" s="11"/>
      <c r="AB11" s="56" t="s">
        <v>132</v>
      </c>
      <c r="AC11" s="66" t="s">
        <v>133</v>
      </c>
      <c r="AD11" s="58">
        <v>0</v>
      </c>
      <c r="AE11" s="58">
        <v>0.03</v>
      </c>
      <c r="AF11" s="58">
        <v>1.6E-2</v>
      </c>
      <c r="AG11" s="58">
        <v>35</v>
      </c>
      <c r="AH11" s="59">
        <v>0</v>
      </c>
      <c r="AI11" s="11"/>
      <c r="AJ11" s="11"/>
      <c r="AK11" s="11"/>
      <c r="AL11" s="11"/>
      <c r="AM11" s="11"/>
      <c r="AN11" s="11"/>
      <c r="AO11" s="11"/>
      <c r="AP11" s="13" t="s">
        <v>2943</v>
      </c>
      <c r="AQ11" s="213" t="s">
        <v>2935</v>
      </c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</row>
    <row r="12" spans="1:70" ht="15" x14ac:dyDescent="0.25">
      <c r="A12">
        <v>1</v>
      </c>
      <c r="B12" t="s">
        <v>2661</v>
      </c>
      <c r="C12">
        <v>11</v>
      </c>
      <c r="D12" s="128">
        <v>1.9921337132099998E-3</v>
      </c>
      <c r="E12" s="11"/>
      <c r="F12" s="3" t="s">
        <v>181</v>
      </c>
      <c r="G12" s="3">
        <v>9.1759000000000003E-4</v>
      </c>
      <c r="H12" s="11"/>
      <c r="I12" s="76">
        <v>11</v>
      </c>
      <c r="J12" s="69">
        <v>1.72</v>
      </c>
      <c r="K12" s="11"/>
      <c r="L12" s="13" t="s">
        <v>3200</v>
      </c>
      <c r="M12" s="15">
        <v>0.18</v>
      </c>
      <c r="N12" s="14">
        <v>0.4</v>
      </c>
      <c r="O12" s="14">
        <v>0.7</v>
      </c>
      <c r="P12" s="249" t="s">
        <v>5</v>
      </c>
      <c r="Q12" s="11"/>
      <c r="R12" s="11"/>
      <c r="S12" s="11"/>
      <c r="T12" s="11"/>
      <c r="U12" s="221"/>
      <c r="V12" s="221"/>
      <c r="W12" s="221"/>
      <c r="X12" s="11"/>
      <c r="Y12" s="52">
        <v>11</v>
      </c>
      <c r="Z12" s="50">
        <v>0.02</v>
      </c>
      <c r="AA12" s="11"/>
      <c r="AB12" s="56" t="s">
        <v>134</v>
      </c>
      <c r="AC12" s="66" t="s">
        <v>135</v>
      </c>
      <c r="AD12" s="58">
        <v>0</v>
      </c>
      <c r="AE12" s="58">
        <v>0.12</v>
      </c>
      <c r="AF12" s="58">
        <v>0.24</v>
      </c>
      <c r="AG12" s="58">
        <v>50</v>
      </c>
      <c r="AH12" s="59">
        <v>0</v>
      </c>
      <c r="AI12" s="11"/>
      <c r="AJ12" s="11"/>
      <c r="AK12" s="11"/>
      <c r="AL12" s="11"/>
      <c r="AM12" s="11"/>
      <c r="AN12" s="11"/>
      <c r="AO12" s="11"/>
      <c r="AP12" s="13" t="s">
        <v>2944</v>
      </c>
      <c r="AQ12" s="213" t="s">
        <v>2935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</row>
    <row r="13" spans="1:70" ht="15" x14ac:dyDescent="0.25">
      <c r="A13">
        <v>1</v>
      </c>
      <c r="B13" t="s">
        <v>2661</v>
      </c>
      <c r="C13">
        <v>12</v>
      </c>
      <c r="D13" s="128">
        <v>2.3670334366199999E-3</v>
      </c>
      <c r="E13" s="11"/>
      <c r="F13" s="3" t="s">
        <v>182</v>
      </c>
      <c r="G13" s="3">
        <v>2.1246300000000002E-3</v>
      </c>
      <c r="H13" s="11"/>
      <c r="I13" s="76">
        <v>12</v>
      </c>
      <c r="J13" s="69">
        <v>2.1</v>
      </c>
      <c r="K13" s="11"/>
      <c r="L13" s="13" t="s">
        <v>3201</v>
      </c>
      <c r="M13" s="15">
        <v>0.18</v>
      </c>
      <c r="N13" s="14">
        <v>0.4</v>
      </c>
      <c r="O13" s="14">
        <v>0.7</v>
      </c>
      <c r="P13" s="249" t="s">
        <v>5</v>
      </c>
      <c r="Q13" s="11"/>
      <c r="R13" s="11"/>
      <c r="S13" s="11"/>
      <c r="T13" s="11"/>
      <c r="U13" s="221"/>
      <c r="V13" s="221"/>
      <c r="W13" s="221"/>
      <c r="X13" s="11"/>
      <c r="Y13" s="52">
        <v>12</v>
      </c>
      <c r="Z13" s="50">
        <v>0.02</v>
      </c>
      <c r="AA13" s="11"/>
      <c r="AB13" s="56" t="s">
        <v>136</v>
      </c>
      <c r="AC13" s="66" t="s">
        <v>137</v>
      </c>
      <c r="AD13" s="58">
        <v>0</v>
      </c>
      <c r="AE13" s="58">
        <v>0.12</v>
      </c>
      <c r="AF13" s="58">
        <v>0.24</v>
      </c>
      <c r="AG13" s="58">
        <v>50</v>
      </c>
      <c r="AH13" s="59">
        <v>0</v>
      </c>
      <c r="AI13" s="11"/>
      <c r="AJ13" s="11"/>
      <c r="AK13" s="11"/>
      <c r="AL13" s="11"/>
      <c r="AM13" s="11"/>
      <c r="AN13" s="11"/>
      <c r="AO13" s="11"/>
      <c r="AP13" s="13" t="s">
        <v>2945</v>
      </c>
      <c r="AQ13" s="213" t="s">
        <v>2937</v>
      </c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</row>
    <row r="14" spans="1:70" ht="15" x14ac:dyDescent="0.25">
      <c r="A14">
        <v>1</v>
      </c>
      <c r="B14" t="s">
        <v>2661</v>
      </c>
      <c r="C14">
        <v>13</v>
      </c>
      <c r="D14" s="128">
        <v>2.7793937620199998E-3</v>
      </c>
      <c r="E14" s="11"/>
      <c r="F14" s="3" t="s">
        <v>183</v>
      </c>
      <c r="G14" s="3">
        <v>4.4445400000000003E-3</v>
      </c>
      <c r="H14" s="11"/>
      <c r="I14" s="76">
        <v>13</v>
      </c>
      <c r="J14" s="69">
        <v>2.5499999999999998</v>
      </c>
      <c r="K14" s="11"/>
      <c r="L14" s="13" t="s">
        <v>3209</v>
      </c>
      <c r="M14" s="15">
        <v>1.06E-2</v>
      </c>
      <c r="N14" s="14">
        <v>0.5</v>
      </c>
      <c r="O14" s="14">
        <v>1</v>
      </c>
      <c r="P14" s="248" t="s">
        <v>3218</v>
      </c>
      <c r="Q14" s="11"/>
      <c r="R14" s="11"/>
      <c r="S14" s="11"/>
      <c r="T14" s="11"/>
      <c r="U14" s="221"/>
      <c r="V14" s="221"/>
      <c r="W14" s="221"/>
      <c r="X14" s="11"/>
      <c r="Y14" s="52">
        <v>13</v>
      </c>
      <c r="Z14" s="50">
        <v>0.02</v>
      </c>
      <c r="AA14" s="11"/>
      <c r="AB14" s="56" t="s">
        <v>138</v>
      </c>
      <c r="AC14" s="66" t="s">
        <v>139</v>
      </c>
      <c r="AD14" s="58">
        <v>0</v>
      </c>
      <c r="AE14" s="58">
        <v>0.12</v>
      </c>
      <c r="AF14" s="58">
        <v>0.24</v>
      </c>
      <c r="AG14" s="58">
        <v>50</v>
      </c>
      <c r="AH14" s="59">
        <v>0</v>
      </c>
      <c r="AI14" s="11"/>
      <c r="AJ14" s="11"/>
      <c r="AK14" s="11"/>
      <c r="AL14" s="11"/>
      <c r="AM14" s="11"/>
      <c r="AN14" s="11"/>
      <c r="AO14" s="11"/>
      <c r="AP14" s="13" t="s">
        <v>2946</v>
      </c>
      <c r="AQ14" s="213" t="s">
        <v>2947</v>
      </c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</row>
    <row r="15" spans="1:70" ht="15" x14ac:dyDescent="0.25">
      <c r="A15">
        <v>1</v>
      </c>
      <c r="B15" t="s">
        <v>2661</v>
      </c>
      <c r="C15">
        <v>14</v>
      </c>
      <c r="D15" s="128">
        <v>3.2312928732299998E-3</v>
      </c>
      <c r="E15" s="11"/>
      <c r="F15" s="3" t="s">
        <v>184</v>
      </c>
      <c r="G15" s="3">
        <v>7.5560000000000002E-3</v>
      </c>
      <c r="H15" s="11"/>
      <c r="I15" s="77">
        <v>14</v>
      </c>
      <c r="J15" s="71">
        <v>2.94</v>
      </c>
      <c r="K15" s="11"/>
      <c r="L15" s="13" t="s">
        <v>3210</v>
      </c>
      <c r="M15" s="15">
        <v>1.06E-2</v>
      </c>
      <c r="N15" s="14">
        <v>0.5</v>
      </c>
      <c r="O15" s="14">
        <v>1</v>
      </c>
      <c r="P15" s="248" t="s">
        <v>3218</v>
      </c>
      <c r="Q15" s="11"/>
      <c r="R15" s="11"/>
      <c r="S15" s="11"/>
      <c r="T15" s="11"/>
      <c r="U15" s="221"/>
      <c r="V15" s="221"/>
      <c r="W15" s="221"/>
      <c r="X15" s="11"/>
      <c r="Y15" s="52">
        <v>14</v>
      </c>
      <c r="Z15" s="50">
        <v>0.03</v>
      </c>
      <c r="AA15" s="11"/>
      <c r="AB15" s="56" t="s">
        <v>140</v>
      </c>
      <c r="AC15" s="66" t="s">
        <v>141</v>
      </c>
      <c r="AD15" s="58">
        <v>0</v>
      </c>
      <c r="AE15" s="58">
        <v>0.12</v>
      </c>
      <c r="AF15" s="58">
        <v>0.24</v>
      </c>
      <c r="AG15" s="58">
        <v>50</v>
      </c>
      <c r="AH15" s="59">
        <v>0.04</v>
      </c>
      <c r="AI15" s="11"/>
      <c r="AJ15" s="11"/>
      <c r="AK15" s="11"/>
      <c r="AL15" s="11"/>
      <c r="AM15" s="11"/>
      <c r="AN15" s="11"/>
      <c r="AO15" s="11"/>
      <c r="AP15" s="13" t="s">
        <v>2948</v>
      </c>
      <c r="AQ15" s="213" t="s">
        <v>2947</v>
      </c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</row>
    <row r="16" spans="1:70" ht="15" x14ac:dyDescent="0.25">
      <c r="A16">
        <v>1</v>
      </c>
      <c r="B16" t="s">
        <v>2661</v>
      </c>
      <c r="C16">
        <v>15</v>
      </c>
      <c r="D16" s="128">
        <v>3.7247124111399999E-3</v>
      </c>
      <c r="E16" s="11"/>
      <c r="F16" s="3" t="s">
        <v>185</v>
      </c>
      <c r="G16" s="3">
        <v>1.3210009999999999E-2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221"/>
      <c r="V16" s="221"/>
      <c r="W16" s="221"/>
      <c r="X16" s="11"/>
      <c r="Y16" s="52">
        <v>15</v>
      </c>
      <c r="Z16" s="50">
        <v>0.03</v>
      </c>
      <c r="AA16" s="11"/>
      <c r="AB16" s="56" t="s">
        <v>142</v>
      </c>
      <c r="AC16" s="66" t="s">
        <v>143</v>
      </c>
      <c r="AD16" s="58">
        <v>0.15</v>
      </c>
      <c r="AE16" s="58">
        <v>0</v>
      </c>
      <c r="AF16" s="58">
        <v>0</v>
      </c>
      <c r="AG16" s="58">
        <v>1</v>
      </c>
      <c r="AH16" s="59">
        <v>0</v>
      </c>
      <c r="AI16" s="11"/>
      <c r="AJ16" s="11"/>
      <c r="AK16" s="11"/>
      <c r="AL16" s="11"/>
      <c r="AM16" s="11"/>
      <c r="AN16" s="11"/>
      <c r="AO16" s="11"/>
      <c r="AP16" s="13" t="s">
        <v>2949</v>
      </c>
      <c r="AQ16" s="213" t="s">
        <v>2935</v>
      </c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1:70" ht="15" x14ac:dyDescent="0.25">
      <c r="A17">
        <v>1</v>
      </c>
      <c r="B17" t="s">
        <v>2661</v>
      </c>
      <c r="C17">
        <v>16</v>
      </c>
      <c r="D17" s="128">
        <v>4.2617408590399997E-3</v>
      </c>
      <c r="E17" s="11"/>
      <c r="F17" s="3" t="s">
        <v>186</v>
      </c>
      <c r="G17" s="3">
        <v>2.3749880000000001E-2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221"/>
      <c r="V17" s="221"/>
      <c r="W17" s="221"/>
      <c r="X17" s="11"/>
      <c r="Y17" s="52">
        <v>16</v>
      </c>
      <c r="Z17" s="50">
        <v>0.03</v>
      </c>
      <c r="AA17" s="11"/>
      <c r="AB17" s="56" t="s">
        <v>144</v>
      </c>
      <c r="AC17" s="66" t="s">
        <v>145</v>
      </c>
      <c r="AD17" s="58">
        <v>0</v>
      </c>
      <c r="AE17" s="58">
        <v>0.12</v>
      </c>
      <c r="AF17" s="58">
        <v>0.24</v>
      </c>
      <c r="AG17" s="58">
        <v>50</v>
      </c>
      <c r="AH17" s="59">
        <v>0</v>
      </c>
      <c r="AI17" s="11"/>
      <c r="AJ17" s="11"/>
      <c r="AK17" s="11"/>
      <c r="AL17" s="11"/>
      <c r="AM17" s="11"/>
      <c r="AN17" s="11"/>
      <c r="AO17" s="11"/>
      <c r="AP17" s="13" t="s">
        <v>2950</v>
      </c>
      <c r="AQ17" s="213" t="s">
        <v>2937</v>
      </c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1:70" ht="15" x14ac:dyDescent="0.25">
      <c r="A18">
        <v>1</v>
      </c>
      <c r="B18" t="s">
        <v>2661</v>
      </c>
      <c r="C18">
        <v>17</v>
      </c>
      <c r="D18" s="128">
        <v>4.8443868388700004E-3</v>
      </c>
      <c r="E18" s="11"/>
      <c r="F18" s="3" t="s">
        <v>187</v>
      </c>
      <c r="G18" s="3">
        <v>4.3910339999999999E-2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221"/>
      <c r="V18" s="221"/>
      <c r="W18" s="221"/>
      <c r="X18" s="11"/>
      <c r="Y18" s="52">
        <v>17</v>
      </c>
      <c r="Z18" s="50">
        <v>0.1</v>
      </c>
      <c r="AA18" s="11"/>
      <c r="AB18" s="56" t="s">
        <v>146</v>
      </c>
      <c r="AC18" s="66" t="s">
        <v>147</v>
      </c>
      <c r="AD18" s="58">
        <v>0</v>
      </c>
      <c r="AE18" s="58">
        <v>0.12</v>
      </c>
      <c r="AF18" s="58">
        <v>0.24</v>
      </c>
      <c r="AG18" s="58">
        <v>50</v>
      </c>
      <c r="AH18" s="59">
        <v>0</v>
      </c>
      <c r="AI18" s="11"/>
      <c r="AJ18" s="11"/>
      <c r="AK18" s="11"/>
      <c r="AL18" s="11"/>
      <c r="AM18" s="11"/>
      <c r="AN18" s="11"/>
      <c r="AO18" s="11"/>
      <c r="AP18" s="13" t="s">
        <v>2951</v>
      </c>
      <c r="AQ18" s="213" t="s">
        <v>2933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1:70" ht="15" x14ac:dyDescent="0.25">
      <c r="A19">
        <v>1</v>
      </c>
      <c r="B19" t="s">
        <v>2661</v>
      </c>
      <c r="C19">
        <v>18</v>
      </c>
      <c r="D19" s="128">
        <v>5.4746324600599998E-3</v>
      </c>
      <c r="E19" s="11"/>
      <c r="F19" s="3" t="s">
        <v>188</v>
      </c>
      <c r="G19" s="3">
        <v>8.3487039999999998E-2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221"/>
      <c r="V19" s="221"/>
      <c r="W19" s="221"/>
      <c r="X19" s="11"/>
      <c r="Y19" s="52">
        <v>18</v>
      </c>
      <c r="Z19" s="50">
        <v>0.1</v>
      </c>
      <c r="AA19" s="11"/>
      <c r="AB19" s="56" t="s">
        <v>148</v>
      </c>
      <c r="AC19" s="66" t="s">
        <v>149</v>
      </c>
      <c r="AD19" s="58">
        <v>0</v>
      </c>
      <c r="AE19" s="58">
        <v>0.12</v>
      </c>
      <c r="AF19" s="58">
        <v>0.24</v>
      </c>
      <c r="AG19" s="58">
        <v>50</v>
      </c>
      <c r="AH19" s="59">
        <v>0</v>
      </c>
      <c r="AI19" s="11"/>
      <c r="AJ19" s="11"/>
      <c r="AK19" s="11"/>
      <c r="AL19" s="11"/>
      <c r="AM19" s="11"/>
      <c r="AN19" s="11"/>
      <c r="AO19" s="11"/>
      <c r="AP19" s="13" t="s">
        <v>2952</v>
      </c>
      <c r="AQ19" s="213" t="s">
        <v>2935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1:70" ht="15" x14ac:dyDescent="0.25">
      <c r="A20">
        <v>1</v>
      </c>
      <c r="B20" t="s">
        <v>2661</v>
      </c>
      <c r="C20">
        <v>19</v>
      </c>
      <c r="D20" s="128">
        <v>6.1544633332299998E-3</v>
      </c>
      <c r="E20" s="11"/>
      <c r="F20" s="3" t="s">
        <v>189</v>
      </c>
      <c r="G20" s="3">
        <v>0.16323687000000001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221"/>
      <c r="V20" s="221"/>
      <c r="W20" s="221"/>
      <c r="X20" s="11"/>
      <c r="Y20" s="52">
        <v>19</v>
      </c>
      <c r="Z20" s="50">
        <v>0.1</v>
      </c>
      <c r="AA20" s="11"/>
      <c r="AB20" s="56" t="s">
        <v>150</v>
      </c>
      <c r="AC20" s="66" t="s">
        <v>151</v>
      </c>
      <c r="AD20" s="58">
        <v>0</v>
      </c>
      <c r="AE20" s="58">
        <v>0.12</v>
      </c>
      <c r="AF20" s="58">
        <v>0.24</v>
      </c>
      <c r="AG20" s="58">
        <v>50</v>
      </c>
      <c r="AH20" s="59">
        <v>0</v>
      </c>
      <c r="AI20" s="11"/>
      <c r="AJ20" s="11"/>
      <c r="AK20" s="11"/>
      <c r="AL20" s="11"/>
      <c r="AM20" s="11"/>
      <c r="AN20" s="11"/>
      <c r="AO20" s="11"/>
      <c r="AP20" s="13" t="s">
        <v>2953</v>
      </c>
      <c r="AQ20" s="213" t="s">
        <v>2947</v>
      </c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1:70" ht="15" x14ac:dyDescent="0.25">
      <c r="A21">
        <v>1</v>
      </c>
      <c r="B21" t="s">
        <v>2661</v>
      </c>
      <c r="C21">
        <v>20</v>
      </c>
      <c r="D21" s="128">
        <v>6.8857185253100002E-3</v>
      </c>
      <c r="E21" s="11"/>
      <c r="F21" s="3" t="s">
        <v>190</v>
      </c>
      <c r="G21" s="3">
        <v>0.25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221"/>
      <c r="V21" s="221"/>
      <c r="W21" s="221"/>
      <c r="X21" s="11"/>
      <c r="Y21" s="163" t="s">
        <v>2700</v>
      </c>
      <c r="Z21" s="50">
        <v>0</v>
      </c>
      <c r="AA21" s="11"/>
      <c r="AB21" s="56" t="s">
        <v>152</v>
      </c>
      <c r="AC21" s="66" t="s">
        <v>153</v>
      </c>
      <c r="AD21" s="58">
        <v>0</v>
      </c>
      <c r="AE21" s="58">
        <v>0.12</v>
      </c>
      <c r="AF21" s="58">
        <v>0.24</v>
      </c>
      <c r="AG21" s="58">
        <v>50</v>
      </c>
      <c r="AH21" s="59">
        <v>0</v>
      </c>
      <c r="AI21" s="11"/>
      <c r="AJ21" s="11"/>
      <c r="AK21" s="11"/>
      <c r="AL21" s="11"/>
      <c r="AM21" s="11"/>
      <c r="AN21" s="11"/>
      <c r="AO21" s="11"/>
      <c r="AP21" s="13" t="s">
        <v>2954</v>
      </c>
      <c r="AQ21" s="213" t="s">
        <v>2935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1:70" ht="15" x14ac:dyDescent="0.25">
      <c r="A22">
        <v>1</v>
      </c>
      <c r="B22" t="s">
        <v>2661</v>
      </c>
      <c r="C22">
        <v>21</v>
      </c>
      <c r="D22" s="128">
        <v>7.6701105579600002E-3</v>
      </c>
      <c r="E22" s="11"/>
      <c r="F22" s="3" t="s">
        <v>191</v>
      </c>
      <c r="G22" s="3">
        <v>0.35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221"/>
      <c r="V22" s="221"/>
      <c r="W22" s="221"/>
      <c r="X22" s="11"/>
      <c r="Y22" s="163" t="s">
        <v>2702</v>
      </c>
      <c r="Z22" s="50">
        <v>0</v>
      </c>
      <c r="AA22" s="11"/>
      <c r="AB22" s="56" t="s">
        <v>154</v>
      </c>
      <c r="AC22" s="66" t="s">
        <v>155</v>
      </c>
      <c r="AD22" s="58">
        <v>0</v>
      </c>
      <c r="AE22" s="58">
        <v>0.12</v>
      </c>
      <c r="AF22" s="58">
        <v>0.24</v>
      </c>
      <c r="AG22" s="58">
        <v>50</v>
      </c>
      <c r="AH22" s="59">
        <v>0</v>
      </c>
      <c r="AI22" s="11"/>
      <c r="AJ22" s="11"/>
      <c r="AK22" s="11"/>
      <c r="AL22" s="11"/>
      <c r="AM22" s="11"/>
      <c r="AN22" s="11"/>
      <c r="AO22" s="11"/>
      <c r="AP22" s="13" t="s">
        <v>2955</v>
      </c>
      <c r="AQ22" s="213" t="s">
        <v>2937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1:70" ht="15" x14ac:dyDescent="0.25">
      <c r="A23">
        <v>1</v>
      </c>
      <c r="B23" t="s">
        <v>2661</v>
      </c>
      <c r="C23">
        <v>22</v>
      </c>
      <c r="D23" s="128">
        <v>8.5094121384899999E-3</v>
      </c>
      <c r="E23" s="11"/>
      <c r="F23" s="3" t="s">
        <v>192</v>
      </c>
      <c r="G23" s="3">
        <v>1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64" t="s">
        <v>2701</v>
      </c>
      <c r="Z23" s="51">
        <v>0</v>
      </c>
      <c r="AA23" s="11"/>
      <c r="AB23" s="56" t="s">
        <v>156</v>
      </c>
      <c r="AC23" s="66" t="s">
        <v>157</v>
      </c>
      <c r="AD23" s="58">
        <v>0</v>
      </c>
      <c r="AE23" s="58">
        <v>0.12</v>
      </c>
      <c r="AF23" s="58">
        <v>0.24</v>
      </c>
      <c r="AG23" s="58">
        <v>50</v>
      </c>
      <c r="AH23" s="59">
        <v>0</v>
      </c>
      <c r="AI23" s="11"/>
      <c r="AJ23" s="11"/>
      <c r="AK23" s="11"/>
      <c r="AL23" s="11"/>
      <c r="AM23" s="11"/>
      <c r="AN23" s="11"/>
      <c r="AO23" s="11"/>
      <c r="AP23" s="13" t="s">
        <v>2956</v>
      </c>
      <c r="AQ23" s="213" t="s">
        <v>2933</v>
      </c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1:70" ht="15" x14ac:dyDescent="0.25">
      <c r="A24">
        <v>1</v>
      </c>
      <c r="B24" t="s">
        <v>2661</v>
      </c>
      <c r="C24">
        <v>23</v>
      </c>
      <c r="D24" s="128">
        <v>9.4051660527300004E-3</v>
      </c>
      <c r="E24" s="11"/>
      <c r="F24" s="3" t="s">
        <v>193</v>
      </c>
      <c r="G24" s="3">
        <v>2.0599999999999999E-4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56" t="s">
        <v>158</v>
      </c>
      <c r="AC24" s="66" t="s">
        <v>159</v>
      </c>
      <c r="AD24" s="58">
        <v>0</v>
      </c>
      <c r="AE24" s="58">
        <v>0.12</v>
      </c>
      <c r="AF24" s="58">
        <v>0.24</v>
      </c>
      <c r="AG24" s="58">
        <v>50</v>
      </c>
      <c r="AH24" s="59">
        <v>0</v>
      </c>
      <c r="AI24" s="11"/>
      <c r="AJ24" s="11"/>
      <c r="AK24" s="11"/>
      <c r="AL24" s="11"/>
      <c r="AM24" s="11"/>
      <c r="AN24" s="11"/>
      <c r="AO24" s="11"/>
      <c r="AP24" s="13" t="s">
        <v>2957</v>
      </c>
      <c r="AQ24" s="213" t="s">
        <v>2935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1:70" ht="15" x14ac:dyDescent="0.25">
      <c r="A25">
        <v>1</v>
      </c>
      <c r="B25" t="s">
        <v>2661</v>
      </c>
      <c r="C25">
        <v>24</v>
      </c>
      <c r="D25" s="128">
        <v>1.0358795191689999E-2</v>
      </c>
      <c r="E25" s="11"/>
      <c r="F25" s="3" t="s">
        <v>194</v>
      </c>
      <c r="G25" s="3">
        <v>3.0899999999999998E-4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56" t="s">
        <v>160</v>
      </c>
      <c r="AC25" s="66" t="s">
        <v>161</v>
      </c>
      <c r="AD25" s="58">
        <v>0</v>
      </c>
      <c r="AE25" s="58">
        <v>0.12</v>
      </c>
      <c r="AF25" s="58">
        <v>0.24</v>
      </c>
      <c r="AG25" s="58">
        <v>50</v>
      </c>
      <c r="AH25" s="59">
        <v>0</v>
      </c>
      <c r="AI25" s="11"/>
      <c r="AJ25" s="11"/>
      <c r="AK25" s="11"/>
      <c r="AL25" s="11"/>
      <c r="AM25" s="11"/>
      <c r="AN25" s="11"/>
      <c r="AO25" s="11"/>
      <c r="AP25" s="13" t="s">
        <v>2958</v>
      </c>
      <c r="AQ25" s="213" t="s">
        <v>2947</v>
      </c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1:70" ht="15" x14ac:dyDescent="0.25">
      <c r="A26">
        <v>1</v>
      </c>
      <c r="B26" t="s">
        <v>2661</v>
      </c>
      <c r="C26">
        <v>25</v>
      </c>
      <c r="D26" s="128">
        <v>1.137175260971E-2</v>
      </c>
      <c r="E26" s="11"/>
      <c r="F26" s="3" t="s">
        <v>195</v>
      </c>
      <c r="G26" s="3">
        <v>4.1199999999999999E-4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56" t="s">
        <v>76</v>
      </c>
      <c r="AC26" s="66" t="s">
        <v>162</v>
      </c>
      <c r="AD26" s="58">
        <v>0</v>
      </c>
      <c r="AE26" s="58">
        <v>0.12</v>
      </c>
      <c r="AF26" s="58">
        <v>0.24</v>
      </c>
      <c r="AG26" s="58">
        <v>50</v>
      </c>
      <c r="AH26" s="59">
        <v>0</v>
      </c>
      <c r="AI26" s="11"/>
      <c r="AJ26" s="11"/>
      <c r="AK26" s="11"/>
      <c r="AL26" s="11"/>
      <c r="AM26" s="11"/>
      <c r="AN26" s="11"/>
      <c r="AO26" s="11"/>
      <c r="AP26" s="13" t="s">
        <v>2959</v>
      </c>
      <c r="AQ26" s="213" t="s">
        <v>2933</v>
      </c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1:70" ht="15" x14ac:dyDescent="0.25">
      <c r="A27">
        <v>1</v>
      </c>
      <c r="B27" t="s">
        <v>2661</v>
      </c>
      <c r="C27">
        <v>26</v>
      </c>
      <c r="D27" s="128">
        <v>1.244510466516E-2</v>
      </c>
      <c r="E27" s="11"/>
      <c r="F27" s="3" t="s">
        <v>196</v>
      </c>
      <c r="G27" s="3">
        <v>0.35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56" t="s">
        <v>163</v>
      </c>
      <c r="AC27" s="66" t="s">
        <v>164</v>
      </c>
      <c r="AD27" s="58">
        <v>0</v>
      </c>
      <c r="AE27" s="58">
        <v>0.12</v>
      </c>
      <c r="AF27" s="58">
        <v>0.24</v>
      </c>
      <c r="AG27" s="58">
        <v>50</v>
      </c>
      <c r="AH27" s="59">
        <v>0</v>
      </c>
      <c r="AI27" s="11"/>
      <c r="AJ27" s="11"/>
      <c r="AK27" s="11"/>
      <c r="AL27" s="11"/>
      <c r="AM27" s="11"/>
      <c r="AN27" s="11"/>
      <c r="AO27" s="11"/>
      <c r="AP27" s="13" t="s">
        <v>2960</v>
      </c>
      <c r="AQ27" s="213" t="s">
        <v>2931</v>
      </c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1:70" ht="15" x14ac:dyDescent="0.25">
      <c r="A28">
        <v>1</v>
      </c>
      <c r="B28" t="s">
        <v>2661</v>
      </c>
      <c r="C28">
        <v>27</v>
      </c>
      <c r="D28" s="128">
        <v>1.35800945936E-2</v>
      </c>
      <c r="E28" s="11"/>
      <c r="F28" s="3" t="s">
        <v>197</v>
      </c>
      <c r="G28" s="3">
        <v>5.1500000000000005E-4</v>
      </c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56" t="s">
        <v>165</v>
      </c>
      <c r="AC28" s="66" t="s">
        <v>166</v>
      </c>
      <c r="AD28" s="58">
        <v>0</v>
      </c>
      <c r="AE28" s="58">
        <v>0.12</v>
      </c>
      <c r="AF28" s="58">
        <v>0.24</v>
      </c>
      <c r="AG28" s="58">
        <v>50</v>
      </c>
      <c r="AH28" s="59">
        <v>0</v>
      </c>
      <c r="AI28" s="11"/>
      <c r="AJ28" s="11"/>
      <c r="AK28" s="11"/>
      <c r="AL28" s="11"/>
      <c r="AM28" s="11"/>
      <c r="AN28" s="11"/>
      <c r="AO28" s="11"/>
      <c r="AP28" s="13" t="s">
        <v>2961</v>
      </c>
      <c r="AQ28" s="213" t="s">
        <v>2935</v>
      </c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1:70" ht="15" x14ac:dyDescent="0.25">
      <c r="A29">
        <v>1</v>
      </c>
      <c r="B29" t="s">
        <v>2661</v>
      </c>
      <c r="C29">
        <v>28</v>
      </c>
      <c r="D29" s="128">
        <v>1.477753887934E-2</v>
      </c>
      <c r="E29" s="11"/>
      <c r="F29" s="3" t="s">
        <v>198</v>
      </c>
      <c r="G29" s="3">
        <v>6.2074999999999999E-4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60" t="s">
        <v>167</v>
      </c>
      <c r="AC29" s="67" t="s">
        <v>168</v>
      </c>
      <c r="AD29" s="62">
        <v>0</v>
      </c>
      <c r="AE29" s="62">
        <v>0.12</v>
      </c>
      <c r="AF29" s="62">
        <v>0.24</v>
      </c>
      <c r="AG29" s="62">
        <v>50</v>
      </c>
      <c r="AH29" s="63">
        <v>0</v>
      </c>
      <c r="AI29" s="11"/>
      <c r="AJ29" s="11"/>
      <c r="AK29" s="11"/>
      <c r="AL29" s="11"/>
      <c r="AM29" s="11"/>
      <c r="AN29" s="11"/>
      <c r="AO29" s="11"/>
      <c r="AP29" s="13" t="s">
        <v>2962</v>
      </c>
      <c r="AQ29" s="213" t="s">
        <v>2933</v>
      </c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1:70" ht="15" x14ac:dyDescent="0.25">
      <c r="A30">
        <v>1</v>
      </c>
      <c r="B30" t="s">
        <v>2661</v>
      </c>
      <c r="C30">
        <v>29</v>
      </c>
      <c r="D30" s="128">
        <v>1.6038437541349999E-2</v>
      </c>
      <c r="E30" s="11"/>
      <c r="F30" s="3" t="s">
        <v>199</v>
      </c>
      <c r="G30" s="3">
        <v>9.1759000000000003E-4</v>
      </c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3" t="s">
        <v>2963</v>
      </c>
      <c r="AQ30" s="213" t="s">
        <v>2947</v>
      </c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1:70" ht="15" x14ac:dyDescent="0.25">
      <c r="A31">
        <v>1</v>
      </c>
      <c r="B31" t="s">
        <v>2661</v>
      </c>
      <c r="C31">
        <v>30</v>
      </c>
      <c r="D31" s="128">
        <v>1.7363323780949999E-2</v>
      </c>
      <c r="E31" s="11"/>
      <c r="F31" s="3" t="s">
        <v>200</v>
      </c>
      <c r="G31" s="3">
        <v>1.3948400000000001E-3</v>
      </c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3" t="s">
        <v>2964</v>
      </c>
      <c r="AQ31" s="213" t="s">
        <v>2933</v>
      </c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1:70" ht="15" x14ac:dyDescent="0.25">
      <c r="A32">
        <v>1</v>
      </c>
      <c r="B32" t="s">
        <v>2661</v>
      </c>
      <c r="C32">
        <v>31</v>
      </c>
      <c r="D32" s="128">
        <v>1.8753024382049999E-2</v>
      </c>
      <c r="E32" s="11"/>
      <c r="F32" s="3" t="s">
        <v>201</v>
      </c>
      <c r="G32" s="3">
        <v>2.1246300000000002E-3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3" t="s">
        <v>2965</v>
      </c>
      <c r="AQ32" s="213" t="s">
        <v>2947</v>
      </c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1:70" ht="15" x14ac:dyDescent="0.25">
      <c r="A33">
        <v>1</v>
      </c>
      <c r="B33" t="s">
        <v>2661</v>
      </c>
      <c r="C33">
        <v>32</v>
      </c>
      <c r="D33" s="128">
        <v>2.0207765851930001E-2</v>
      </c>
      <c r="E33" s="11"/>
      <c r="F33" s="3" t="s">
        <v>202</v>
      </c>
      <c r="G33" s="3">
        <v>0.25</v>
      </c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3" t="s">
        <v>2966</v>
      </c>
      <c r="AQ33" s="213" t="s">
        <v>2937</v>
      </c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1:70" ht="15" x14ac:dyDescent="0.25">
      <c r="A34">
        <v>1</v>
      </c>
      <c r="B34" t="s">
        <v>2661</v>
      </c>
      <c r="C34">
        <v>33</v>
      </c>
      <c r="D34" s="128">
        <v>2.1727971532559998E-2</v>
      </c>
      <c r="E34" s="11"/>
      <c r="F34" s="3" t="s">
        <v>203</v>
      </c>
      <c r="G34" s="3">
        <v>3.07018E-3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3" t="s">
        <v>2967</v>
      </c>
      <c r="AQ34" s="213" t="s">
        <v>2933</v>
      </c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1:70" ht="15" x14ac:dyDescent="0.25">
      <c r="A35">
        <v>1</v>
      </c>
      <c r="B35" t="s">
        <v>2661</v>
      </c>
      <c r="C35">
        <v>34</v>
      </c>
      <c r="D35" s="128">
        <v>2.3313858016109999E-2</v>
      </c>
      <c r="E35" s="11"/>
      <c r="F35" s="3" t="s">
        <v>204</v>
      </c>
      <c r="G35" s="3">
        <v>4.4445400000000003E-3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3" t="s">
        <v>2968</v>
      </c>
      <c r="AQ35" s="213" t="s">
        <v>2935</v>
      </c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1:70" ht="15" x14ac:dyDescent="0.25">
      <c r="A36">
        <v>1</v>
      </c>
      <c r="B36" t="s">
        <v>2661</v>
      </c>
      <c r="C36">
        <v>35</v>
      </c>
      <c r="D36" s="128">
        <v>2.496553518732E-2</v>
      </c>
      <c r="E36" s="11"/>
      <c r="F36" s="3" t="s">
        <v>205</v>
      </c>
      <c r="G36" s="3">
        <v>7.5560000000000002E-3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3" t="s">
        <v>2969</v>
      </c>
      <c r="AQ36" s="213" t="s">
        <v>2935</v>
      </c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1:70" ht="15" x14ac:dyDescent="0.25">
      <c r="A37">
        <v>1</v>
      </c>
      <c r="B37" t="s">
        <v>2661</v>
      </c>
      <c r="C37">
        <v>36</v>
      </c>
      <c r="D37" s="128">
        <v>2.6683006207599998E-2</v>
      </c>
      <c r="E37" s="11"/>
      <c r="F37" s="3" t="s">
        <v>206</v>
      </c>
      <c r="G37" s="3">
        <v>1.3210009999999999E-2</v>
      </c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3" t="s">
        <v>2970</v>
      </c>
      <c r="AQ37" s="213" t="s">
        <v>2935</v>
      </c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1:70" ht="15" x14ac:dyDescent="0.25">
      <c r="A38">
        <v>1</v>
      </c>
      <c r="B38" t="s">
        <v>2661</v>
      </c>
      <c r="C38">
        <v>37</v>
      </c>
      <c r="D38" s="128">
        <v>2.8466167498959999E-2</v>
      </c>
      <c r="E38" s="11"/>
      <c r="F38" s="3" t="s">
        <v>207</v>
      </c>
      <c r="G38" s="3">
        <v>2.3749880000000001E-2</v>
      </c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3" t="s">
        <v>2971</v>
      </c>
      <c r="AQ38" s="213" t="s">
        <v>2935</v>
      </c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1:70" ht="15" x14ac:dyDescent="0.25">
      <c r="A39">
        <v>1</v>
      </c>
      <c r="B39" t="s">
        <v>2661</v>
      </c>
      <c r="C39">
        <v>38</v>
      </c>
      <c r="D39" s="128">
        <v>3.0314681959880001E-2</v>
      </c>
      <c r="E39" s="11"/>
      <c r="F39" s="3" t="s">
        <v>208</v>
      </c>
      <c r="G39" s="3">
        <v>4.3910339999999999E-2</v>
      </c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3" t="s">
        <v>2972</v>
      </c>
      <c r="AQ39" s="213" t="s">
        <v>2947</v>
      </c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1:70" ht="15" x14ac:dyDescent="0.25">
      <c r="A40">
        <v>1</v>
      </c>
      <c r="B40" t="s">
        <v>2661</v>
      </c>
      <c r="C40">
        <v>39</v>
      </c>
      <c r="D40" s="128">
        <v>3.2228352572589998E-2</v>
      </c>
      <c r="E40" s="11"/>
      <c r="F40" s="3" t="s">
        <v>209</v>
      </c>
      <c r="G40" s="3">
        <v>8.3487039999999998E-2</v>
      </c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3" t="s">
        <v>2973</v>
      </c>
      <c r="AQ40" s="213" t="s">
        <v>2933</v>
      </c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1:70" ht="15" x14ac:dyDescent="0.25">
      <c r="A41">
        <v>1</v>
      </c>
      <c r="B41" t="s">
        <v>2661</v>
      </c>
      <c r="C41">
        <v>40</v>
      </c>
      <c r="D41" s="128">
        <v>3.4206755441389999E-2</v>
      </c>
      <c r="E41" s="11"/>
      <c r="F41" s="3" t="s">
        <v>210</v>
      </c>
      <c r="G41" s="3">
        <v>0.16323687000000001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3" t="s">
        <v>2974</v>
      </c>
      <c r="AQ41" s="213" t="s">
        <v>2947</v>
      </c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1:70" ht="15" x14ac:dyDescent="0.25">
      <c r="A42">
        <v>1</v>
      </c>
      <c r="B42" t="s">
        <v>2661</v>
      </c>
      <c r="C42">
        <v>41</v>
      </c>
      <c r="D42" s="128">
        <v>3.628393317208E-2</v>
      </c>
      <c r="E42" s="11"/>
      <c r="F42" s="3" t="s">
        <v>211</v>
      </c>
      <c r="G42" s="3">
        <v>0.25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3" t="s">
        <v>2975</v>
      </c>
      <c r="AQ42" s="213" t="s">
        <v>2935</v>
      </c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1:70" ht="15" x14ac:dyDescent="0.25">
      <c r="A43">
        <v>1</v>
      </c>
      <c r="B43" t="s">
        <v>2661</v>
      </c>
      <c r="C43">
        <v>42</v>
      </c>
      <c r="D43" s="128">
        <v>3.8464370385800001E-2</v>
      </c>
      <c r="E43" s="11"/>
      <c r="F43" s="3" t="s">
        <v>212</v>
      </c>
      <c r="G43" s="3">
        <v>0.35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3" t="s">
        <v>2976</v>
      </c>
      <c r="AQ43" s="213" t="s">
        <v>2935</v>
      </c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1:70" ht="15" x14ac:dyDescent="0.25">
      <c r="A44">
        <v>1</v>
      </c>
      <c r="B44" t="s">
        <v>2661</v>
      </c>
      <c r="C44">
        <v>43</v>
      </c>
      <c r="D44" s="128">
        <v>4.075274457895E-2</v>
      </c>
      <c r="E44" s="11"/>
      <c r="F44" s="3" t="s">
        <v>213</v>
      </c>
      <c r="G44" s="3">
        <v>1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3" t="s">
        <v>2977</v>
      </c>
      <c r="AQ44" s="213" t="s">
        <v>2937</v>
      </c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1:70" ht="15" x14ac:dyDescent="0.25">
      <c r="A45">
        <v>1</v>
      </c>
      <c r="B45" t="s">
        <v>2661</v>
      </c>
      <c r="C45">
        <v>44</v>
      </c>
      <c r="D45" s="128">
        <v>4.315393414187E-2</v>
      </c>
      <c r="E45" s="11"/>
      <c r="F45" s="3" t="s">
        <v>214</v>
      </c>
      <c r="G45" s="3">
        <v>1</v>
      </c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3" t="s">
        <v>2978</v>
      </c>
      <c r="AQ45" s="213" t="s">
        <v>2937</v>
      </c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1:70" ht="15" x14ac:dyDescent="0.25">
      <c r="A46">
        <v>1</v>
      </c>
      <c r="B46" t="s">
        <v>2661</v>
      </c>
      <c r="C46">
        <v>45</v>
      </c>
      <c r="D46" s="128">
        <v>4.567302670389E-2</v>
      </c>
      <c r="E46" s="11"/>
      <c r="F46" s="3" t="s">
        <v>215</v>
      </c>
      <c r="G46" s="3">
        <v>1</v>
      </c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3" t="s">
        <v>2979</v>
      </c>
      <c r="AQ46" s="213" t="s">
        <v>2947</v>
      </c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1:70" ht="15" x14ac:dyDescent="0.25">
      <c r="A47">
        <v>1</v>
      </c>
      <c r="B47" t="s">
        <v>2661</v>
      </c>
      <c r="C47">
        <v>46</v>
      </c>
      <c r="D47" s="128">
        <v>4.8315327817970002E-2</v>
      </c>
      <c r="E47" s="11"/>
      <c r="F47" s="3" t="s">
        <v>216</v>
      </c>
      <c r="G47" s="3">
        <v>1.03E-4</v>
      </c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3" t="s">
        <v>2980</v>
      </c>
      <c r="AQ47" s="213" t="s">
        <v>2947</v>
      </c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1:70" ht="15" x14ac:dyDescent="0.25">
      <c r="A48">
        <v>1</v>
      </c>
      <c r="B48" t="s">
        <v>2661</v>
      </c>
      <c r="C48">
        <v>47</v>
      </c>
      <c r="D48" s="128">
        <v>5.1086369998510003E-2</v>
      </c>
      <c r="E48" s="11"/>
      <c r="F48" s="3" t="s">
        <v>217</v>
      </c>
      <c r="G48" s="3">
        <v>4.1199999999999999E-4</v>
      </c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3" t="s">
        <v>2981</v>
      </c>
      <c r="AQ48" s="213" t="s">
        <v>2933</v>
      </c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1:70" ht="15" x14ac:dyDescent="0.25">
      <c r="A49">
        <v>1</v>
      </c>
      <c r="B49" t="s">
        <v>2661</v>
      </c>
      <c r="C49">
        <v>48</v>
      </c>
      <c r="D49" s="128">
        <v>5.3991922126710001E-2</v>
      </c>
      <c r="E49" s="11"/>
      <c r="F49" s="3" t="s">
        <v>218</v>
      </c>
      <c r="G49" s="3">
        <v>6.2074999999999999E-4</v>
      </c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3" t="s">
        <v>2982</v>
      </c>
      <c r="AQ49" s="213" t="s">
        <v>2935</v>
      </c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1:70" ht="15" x14ac:dyDescent="0.25">
      <c r="A50">
        <v>1</v>
      </c>
      <c r="B50" t="s">
        <v>2661</v>
      </c>
      <c r="C50">
        <v>49</v>
      </c>
      <c r="D50" s="128">
        <v>5.7037999238209999E-2</v>
      </c>
      <c r="E50" s="11"/>
      <c r="F50" s="3" t="s">
        <v>219</v>
      </c>
      <c r="G50" s="3">
        <v>9.1759000000000003E-4</v>
      </c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3" t="s">
        <v>2983</v>
      </c>
      <c r="AQ50" s="213" t="s">
        <v>2935</v>
      </c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1:70" ht="15" x14ac:dyDescent="0.25">
      <c r="A51">
        <v>1</v>
      </c>
      <c r="B51" t="s">
        <v>2661</v>
      </c>
      <c r="C51">
        <v>50</v>
      </c>
      <c r="D51" s="128">
        <v>6.023087270836E-2</v>
      </c>
      <c r="E51" s="11"/>
      <c r="F51" s="3" t="s">
        <v>220</v>
      </c>
      <c r="G51" s="3">
        <v>1.3948400000000001E-3</v>
      </c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3" t="s">
        <v>2984</v>
      </c>
      <c r="AQ51" s="213" t="s">
        <v>2931</v>
      </c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1:70" ht="15" x14ac:dyDescent="0.25">
      <c r="A52">
        <v>2</v>
      </c>
      <c r="B52" t="s">
        <v>2662</v>
      </c>
      <c r="C52">
        <v>1</v>
      </c>
      <c r="D52" s="128">
        <v>2.0002000266999999E-4</v>
      </c>
      <c r="E52" s="11"/>
      <c r="F52" s="3" t="s">
        <v>221</v>
      </c>
      <c r="G52" s="3">
        <v>3.07018E-3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3" t="s">
        <v>2985</v>
      </c>
      <c r="AQ52" s="213" t="s">
        <v>2935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1:70" ht="15" x14ac:dyDescent="0.25">
      <c r="A53">
        <v>2</v>
      </c>
      <c r="B53" t="s">
        <v>2662</v>
      </c>
      <c r="C53">
        <v>2</v>
      </c>
      <c r="D53" s="128">
        <v>4.0004000533E-4</v>
      </c>
      <c r="E53" s="11"/>
      <c r="F53" s="3" t="s">
        <v>222</v>
      </c>
      <c r="G53" s="3">
        <v>7.5560000000000002E-3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3" t="s">
        <v>2986</v>
      </c>
      <c r="AQ53" s="213" t="s">
        <v>2933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1:70" ht="15" x14ac:dyDescent="0.25">
      <c r="A54">
        <v>2</v>
      </c>
      <c r="B54" t="s">
        <v>2662</v>
      </c>
      <c r="C54">
        <v>3</v>
      </c>
      <c r="D54" s="128">
        <v>6.0006000799999999E-4</v>
      </c>
      <c r="E54" s="11"/>
      <c r="F54" s="3" t="s">
        <v>223</v>
      </c>
      <c r="G54" s="3">
        <v>0.16323687000000001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3" t="s">
        <v>2987</v>
      </c>
      <c r="AQ54" s="213" t="s">
        <v>2935</v>
      </c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1:70" ht="15" x14ac:dyDescent="0.25">
      <c r="A55">
        <v>2</v>
      </c>
      <c r="B55" t="s">
        <v>2662</v>
      </c>
      <c r="C55">
        <v>4</v>
      </c>
      <c r="D55" s="128">
        <v>8.0008001067000004E-4</v>
      </c>
      <c r="E55" s="11"/>
      <c r="F55" s="3" t="s">
        <v>27</v>
      </c>
      <c r="G55" s="3">
        <v>0.16323687000000001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3" t="s">
        <v>2988</v>
      </c>
      <c r="AQ55" s="213" t="s">
        <v>2933</v>
      </c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1:70" ht="15" x14ac:dyDescent="0.25">
      <c r="A56">
        <v>2</v>
      </c>
      <c r="B56" t="s">
        <v>2662</v>
      </c>
      <c r="C56">
        <v>5</v>
      </c>
      <c r="D56" s="128">
        <v>1.1647023092799999E-3</v>
      </c>
      <c r="E56" s="11"/>
      <c r="F56" s="3" t="s">
        <v>224</v>
      </c>
      <c r="G56" s="3">
        <v>3.0899999999999998E-4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3" t="s">
        <v>2989</v>
      </c>
      <c r="AQ56" s="213" t="s">
        <v>2931</v>
      </c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1:70" ht="15" x14ac:dyDescent="0.25">
      <c r="A57">
        <v>2</v>
      </c>
      <c r="B57" t="s">
        <v>2662</v>
      </c>
      <c r="C57">
        <v>6</v>
      </c>
      <c r="D57" s="128">
        <v>1.62141906358E-3</v>
      </c>
      <c r="E57" s="11"/>
      <c r="F57" s="3" t="s">
        <v>225</v>
      </c>
      <c r="G57" s="3">
        <v>4.1199999999999999E-4</v>
      </c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3" t="s">
        <v>2990</v>
      </c>
      <c r="AQ57" s="213" t="s">
        <v>2937</v>
      </c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1:70" ht="15" x14ac:dyDescent="0.25">
      <c r="A58">
        <v>2</v>
      </c>
      <c r="B58" t="s">
        <v>2662</v>
      </c>
      <c r="C58">
        <v>7</v>
      </c>
      <c r="D58" s="128">
        <v>2.15021687804E-3</v>
      </c>
      <c r="E58" s="11"/>
      <c r="F58" s="3" t="s">
        <v>226</v>
      </c>
      <c r="G58" s="3">
        <v>0.16323687000000001</v>
      </c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3" t="s">
        <v>2991</v>
      </c>
      <c r="AQ58" s="213" t="s">
        <v>2937</v>
      </c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1:70" ht="15" x14ac:dyDescent="0.25">
      <c r="A59">
        <v>2</v>
      </c>
      <c r="B59" t="s">
        <v>2662</v>
      </c>
      <c r="C59">
        <v>8</v>
      </c>
      <c r="D59" s="128">
        <v>2.7526868593299998E-3</v>
      </c>
      <c r="E59" s="11"/>
      <c r="F59" s="3" t="s">
        <v>227</v>
      </c>
      <c r="G59" s="3">
        <v>1.3948400000000001E-3</v>
      </c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3" t="s">
        <v>2992</v>
      </c>
      <c r="AQ59" s="213" t="s">
        <v>2937</v>
      </c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1:70" ht="15" x14ac:dyDescent="0.25">
      <c r="A60">
        <v>2</v>
      </c>
      <c r="B60" t="s">
        <v>2662</v>
      </c>
      <c r="C60">
        <v>9</v>
      </c>
      <c r="D60" s="128">
        <v>3.4311539623100001E-3</v>
      </c>
      <c r="E60" s="11"/>
      <c r="F60" s="3" t="s">
        <v>228</v>
      </c>
      <c r="G60" s="3">
        <v>3.07018E-3</v>
      </c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3" t="s">
        <v>2993</v>
      </c>
      <c r="AQ60" s="213" t="s">
        <v>2947</v>
      </c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1:70" ht="15" x14ac:dyDescent="0.25">
      <c r="A61">
        <v>2</v>
      </c>
      <c r="B61" t="s">
        <v>2662</v>
      </c>
      <c r="C61">
        <v>10</v>
      </c>
      <c r="D61" s="128">
        <v>4.1886104337400002E-3</v>
      </c>
      <c r="E61" s="11"/>
      <c r="F61" s="3" t="s">
        <v>229</v>
      </c>
      <c r="G61" s="3">
        <v>0.16323687000000001</v>
      </c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3" t="s">
        <v>2994</v>
      </c>
      <c r="AQ61" s="213" t="s">
        <v>2935</v>
      </c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1:70" ht="15" x14ac:dyDescent="0.25">
      <c r="A62">
        <v>2</v>
      </c>
      <c r="B62" t="s">
        <v>2662</v>
      </c>
      <c r="C62">
        <v>11</v>
      </c>
      <c r="D62" s="128">
        <v>5.0282957533099998E-3</v>
      </c>
      <c r="E62" s="11"/>
      <c r="F62" s="3" t="s">
        <v>230</v>
      </c>
      <c r="G62" s="3">
        <v>1</v>
      </c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3" t="s">
        <v>2995</v>
      </c>
      <c r="AQ62" s="213" t="s">
        <v>2933</v>
      </c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1:70" ht="15" x14ac:dyDescent="0.25">
      <c r="A63">
        <v>2</v>
      </c>
      <c r="B63" t="s">
        <v>2662</v>
      </c>
      <c r="C63">
        <v>12</v>
      </c>
      <c r="D63" s="128">
        <v>5.9537967430800002E-3</v>
      </c>
      <c r="E63" s="11"/>
      <c r="F63" s="3" t="s">
        <v>231</v>
      </c>
      <c r="G63" s="3">
        <v>1</v>
      </c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3" t="s">
        <v>2996</v>
      </c>
      <c r="AQ63" s="213" t="s">
        <v>2933</v>
      </c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1:70" ht="15" x14ac:dyDescent="0.25">
      <c r="A64">
        <v>2</v>
      </c>
      <c r="B64" t="s">
        <v>2662</v>
      </c>
      <c r="C64">
        <v>13</v>
      </c>
      <c r="D64" s="128">
        <v>6.9687408207299998E-3</v>
      </c>
      <c r="E64" s="11"/>
      <c r="F64" s="3" t="s">
        <v>232</v>
      </c>
      <c r="G64" s="3">
        <v>1.03E-4</v>
      </c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3" t="s">
        <v>2997</v>
      </c>
      <c r="AQ64" s="213" t="s">
        <v>2935</v>
      </c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1:70" ht="15" x14ac:dyDescent="0.25">
      <c r="A65">
        <v>2</v>
      </c>
      <c r="B65" t="s">
        <v>2662</v>
      </c>
      <c r="C65">
        <v>14</v>
      </c>
      <c r="D65" s="128">
        <v>8.0768760732199997E-3</v>
      </c>
      <c r="E65" s="11"/>
      <c r="F65" s="3" t="s">
        <v>233</v>
      </c>
      <c r="G65" s="3">
        <v>0.16323687000000001</v>
      </c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3" t="s">
        <v>2998</v>
      </c>
      <c r="AQ65" s="213" t="s">
        <v>2935</v>
      </c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1:70" ht="15" x14ac:dyDescent="0.25">
      <c r="A66">
        <v>2</v>
      </c>
      <c r="B66" t="s">
        <v>2662</v>
      </c>
      <c r="C66">
        <v>15</v>
      </c>
      <c r="D66" s="128">
        <v>9.2819712407300001E-3</v>
      </c>
      <c r="E66" s="11"/>
      <c r="F66" s="3" t="s">
        <v>234</v>
      </c>
      <c r="G66" s="3">
        <v>5.1500000000000005E-4</v>
      </c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3" t="s">
        <v>2999</v>
      </c>
      <c r="AQ66" s="213" t="s">
        <v>2935</v>
      </c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1:70" ht="15" x14ac:dyDescent="0.25">
      <c r="A67">
        <v>2</v>
      </c>
      <c r="B67" t="s">
        <v>2662</v>
      </c>
      <c r="C67">
        <v>16</v>
      </c>
      <c r="D67" s="128">
        <v>1.058739546528E-2</v>
      </c>
      <c r="E67" s="11"/>
      <c r="F67" s="3" t="s">
        <v>235</v>
      </c>
      <c r="G67" s="3">
        <v>9.1759000000000003E-4</v>
      </c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3" t="s">
        <v>3000</v>
      </c>
      <c r="AQ67" s="213" t="s">
        <v>2935</v>
      </c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1:70" ht="15" x14ac:dyDescent="0.25">
      <c r="A68">
        <v>2</v>
      </c>
      <c r="B68" t="s">
        <v>2662</v>
      </c>
      <c r="C68">
        <v>17</v>
      </c>
      <c r="D68" s="128">
        <v>1.1996938804619999E-2</v>
      </c>
      <c r="E68" s="11"/>
      <c r="F68" s="3" t="s">
        <v>236</v>
      </c>
      <c r="G68" s="3">
        <v>0.16323687000000001</v>
      </c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3" t="s">
        <v>3001</v>
      </c>
      <c r="AQ68" s="213" t="s">
        <v>2935</v>
      </c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1:70" ht="15" x14ac:dyDescent="0.25">
      <c r="A69">
        <v>2</v>
      </c>
      <c r="B69" t="s">
        <v>2662</v>
      </c>
      <c r="C69">
        <v>18</v>
      </c>
      <c r="D69" s="128">
        <v>1.351371151961E-2</v>
      </c>
      <c r="E69" s="11"/>
      <c r="F69" s="3" t="s">
        <v>237</v>
      </c>
      <c r="G69" s="3">
        <v>8.3487039999999998E-2</v>
      </c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3" t="s">
        <v>3002</v>
      </c>
      <c r="AQ69" s="213" t="s">
        <v>2933</v>
      </c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1:70" ht="15" x14ac:dyDescent="0.25">
      <c r="A70">
        <v>2</v>
      </c>
      <c r="B70" t="s">
        <v>2662</v>
      </c>
      <c r="C70">
        <v>19</v>
      </c>
      <c r="D70" s="128">
        <v>1.5140924562640001E-2</v>
      </c>
      <c r="E70" s="11"/>
      <c r="F70" s="3" t="s">
        <v>238</v>
      </c>
      <c r="G70" s="3">
        <v>0.25</v>
      </c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3" t="s">
        <v>3003</v>
      </c>
      <c r="AQ70" s="213" t="s">
        <v>2935</v>
      </c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1:70" ht="15" x14ac:dyDescent="0.25">
      <c r="A71">
        <v>2</v>
      </c>
      <c r="B71" t="s">
        <v>2662</v>
      </c>
      <c r="C71">
        <v>20</v>
      </c>
      <c r="D71" s="128">
        <v>1.6881522641010002E-2</v>
      </c>
      <c r="E71" s="11"/>
      <c r="F71" s="3" t="s">
        <v>239</v>
      </c>
      <c r="G71" s="3">
        <v>1</v>
      </c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3" t="s">
        <v>3004</v>
      </c>
      <c r="AQ71" s="213" t="s">
        <v>2935</v>
      </c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1:70" ht="15" x14ac:dyDescent="0.25">
      <c r="A72">
        <v>2</v>
      </c>
      <c r="B72" t="s">
        <v>2662</v>
      </c>
      <c r="C72">
        <v>21</v>
      </c>
      <c r="D72" s="128">
        <v>1.873825756868E-2</v>
      </c>
      <c r="E72" s="11"/>
      <c r="F72" s="3" t="s">
        <v>240</v>
      </c>
      <c r="G72" s="3">
        <v>1</v>
      </c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3" t="s">
        <v>3005</v>
      </c>
      <c r="AQ72" s="213" t="s">
        <v>2947</v>
      </c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1:70" ht="15" x14ac:dyDescent="0.25">
      <c r="A73">
        <v>2</v>
      </c>
      <c r="B73" t="s">
        <v>2662</v>
      </c>
      <c r="C73">
        <v>22</v>
      </c>
      <c r="D73" s="128">
        <v>2.071350806352E-2</v>
      </c>
      <c r="E73" s="11"/>
      <c r="F73" s="3" t="s">
        <v>241</v>
      </c>
      <c r="G73" s="3">
        <v>2.0599999999999999E-4</v>
      </c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3" t="s">
        <v>3006</v>
      </c>
      <c r="AQ73" s="213" t="s">
        <v>2935</v>
      </c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1:70" ht="15" x14ac:dyDescent="0.25">
      <c r="A74">
        <v>2</v>
      </c>
      <c r="B74" t="s">
        <v>2662</v>
      </c>
      <c r="C74">
        <v>23</v>
      </c>
      <c r="D74" s="128">
        <v>2.280967338951E-2</v>
      </c>
      <c r="E74" s="11"/>
      <c r="F74" s="3" t="s">
        <v>242</v>
      </c>
      <c r="G74" s="3">
        <v>3.0899999999999998E-4</v>
      </c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3" t="s">
        <v>3007</v>
      </c>
      <c r="AQ74" s="213" t="s">
        <v>2947</v>
      </c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1:70" ht="15" x14ac:dyDescent="0.25">
      <c r="A75">
        <v>2</v>
      </c>
      <c r="B75" t="s">
        <v>2662</v>
      </c>
      <c r="C75">
        <v>24</v>
      </c>
      <c r="D75" s="128">
        <v>2.502840590426E-2</v>
      </c>
      <c r="E75" s="11"/>
      <c r="F75" s="3" t="s">
        <v>243</v>
      </c>
      <c r="G75" s="3">
        <v>4.1199999999999999E-4</v>
      </c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3" t="s">
        <v>3008</v>
      </c>
      <c r="AQ75" s="213" t="s">
        <v>2937</v>
      </c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1:70" ht="15" x14ac:dyDescent="0.25">
      <c r="A76">
        <v>2</v>
      </c>
      <c r="B76" t="s">
        <v>2662</v>
      </c>
      <c r="C76">
        <v>25</v>
      </c>
      <c r="D76" s="128">
        <v>2.7371812188239999E-2</v>
      </c>
      <c r="E76" s="11"/>
      <c r="F76" s="3" t="s">
        <v>244</v>
      </c>
      <c r="G76" s="3">
        <v>5.1500000000000005E-4</v>
      </c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3" t="s">
        <v>3009</v>
      </c>
      <c r="AQ76" s="213" t="s">
        <v>2933</v>
      </c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1:70" ht="15" x14ac:dyDescent="0.25">
      <c r="A77">
        <v>2</v>
      </c>
      <c r="B77" t="s">
        <v>2662</v>
      </c>
      <c r="C77">
        <v>26</v>
      </c>
      <c r="D77" s="128">
        <v>2.9840851330100001E-2</v>
      </c>
      <c r="E77" s="11"/>
      <c r="F77" s="3" t="s">
        <v>245</v>
      </c>
      <c r="G77" s="3">
        <v>6.2074999999999999E-4</v>
      </c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3" t="s">
        <v>3010</v>
      </c>
      <c r="AQ77" s="213" t="s">
        <v>2937</v>
      </c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1:70" ht="15" x14ac:dyDescent="0.25">
      <c r="A78">
        <v>2</v>
      </c>
      <c r="B78" t="s">
        <v>2662</v>
      </c>
      <c r="C78">
        <v>27</v>
      </c>
      <c r="D78" s="128">
        <v>3.243711676522E-2</v>
      </c>
      <c r="E78" s="11"/>
      <c r="F78" s="3" t="s">
        <v>246</v>
      </c>
      <c r="G78" s="3">
        <v>0.16323687000000001</v>
      </c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3" t="s">
        <v>3011</v>
      </c>
      <c r="AQ78" s="213" t="s">
        <v>2937</v>
      </c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1:70" ht="15" x14ac:dyDescent="0.25">
      <c r="A79">
        <v>2</v>
      </c>
      <c r="B79" t="s">
        <v>2662</v>
      </c>
      <c r="C79">
        <v>28</v>
      </c>
      <c r="D79" s="128">
        <v>3.5161134310050003E-2</v>
      </c>
      <c r="E79" s="11"/>
      <c r="F79" s="3" t="s">
        <v>247</v>
      </c>
      <c r="G79" s="3">
        <v>9.1759000000000003E-4</v>
      </c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3" t="s">
        <v>3012</v>
      </c>
      <c r="AQ79" s="213" t="s">
        <v>2935</v>
      </c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1:70" ht="15" x14ac:dyDescent="0.25">
      <c r="A80">
        <v>2</v>
      </c>
      <c r="B80" t="s">
        <v>2662</v>
      </c>
      <c r="C80">
        <v>29</v>
      </c>
      <c r="D80" s="128">
        <v>3.801393726828E-2</v>
      </c>
      <c r="E80" s="11"/>
      <c r="F80" s="3" t="s">
        <v>248</v>
      </c>
      <c r="G80" s="3">
        <v>1.3948400000000001E-3</v>
      </c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3" t="s">
        <v>3013</v>
      </c>
      <c r="AQ80" s="213" t="s">
        <v>2935</v>
      </c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1:70" ht="15" x14ac:dyDescent="0.25">
      <c r="A81">
        <v>2</v>
      </c>
      <c r="B81" t="s">
        <v>2662</v>
      </c>
      <c r="C81">
        <v>30</v>
      </c>
      <c r="D81" s="128">
        <v>4.0995597896100001E-2</v>
      </c>
      <c r="E81" s="11"/>
      <c r="F81" s="3" t="s">
        <v>249</v>
      </c>
      <c r="G81" s="3">
        <v>2.1246300000000002E-3</v>
      </c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3" t="s">
        <v>3014</v>
      </c>
      <c r="AQ81" s="213" t="s">
        <v>2935</v>
      </c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1:70" ht="15" x14ac:dyDescent="0.25">
      <c r="A82">
        <v>2</v>
      </c>
      <c r="B82" t="s">
        <v>2662</v>
      </c>
      <c r="C82">
        <v>31</v>
      </c>
      <c r="D82" s="128">
        <v>4.4106542335129999E-2</v>
      </c>
      <c r="E82" s="11"/>
      <c r="F82" s="3" t="s">
        <v>250</v>
      </c>
      <c r="G82" s="3">
        <v>3.07018E-3</v>
      </c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3" t="s">
        <v>3015</v>
      </c>
      <c r="AQ82" s="213" t="s">
        <v>2947</v>
      </c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1:70" ht="15" x14ac:dyDescent="0.25">
      <c r="A83">
        <v>2</v>
      </c>
      <c r="B83" t="s">
        <v>2662</v>
      </c>
      <c r="C83">
        <v>32</v>
      </c>
      <c r="D83" s="128">
        <v>4.7346582609930001E-2</v>
      </c>
      <c r="E83" s="11"/>
      <c r="F83" s="3" t="s">
        <v>251</v>
      </c>
      <c r="G83" s="3">
        <v>4.4445400000000003E-3</v>
      </c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3" t="s">
        <v>3016</v>
      </c>
      <c r="AQ83" s="213" t="s">
        <v>2933</v>
      </c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1:70" ht="15" x14ac:dyDescent="0.25">
      <c r="A84">
        <v>2</v>
      </c>
      <c r="B84" t="s">
        <v>2662</v>
      </c>
      <c r="C84">
        <v>33</v>
      </c>
      <c r="D84" s="128">
        <v>5.0715290357400002E-2</v>
      </c>
      <c r="E84" s="11"/>
      <c r="F84" s="3" t="s">
        <v>252</v>
      </c>
      <c r="G84" s="3">
        <v>7.5560000000000002E-3</v>
      </c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3" t="s">
        <v>3017</v>
      </c>
      <c r="AQ84" s="213" t="s">
        <v>2947</v>
      </c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1:70" ht="15" x14ac:dyDescent="0.25">
      <c r="A85">
        <v>2</v>
      </c>
      <c r="B85" t="s">
        <v>2662</v>
      </c>
      <c r="C85">
        <v>34</v>
      </c>
      <c r="D85" s="128">
        <v>5.4212450809629997E-2</v>
      </c>
      <c r="E85" s="11"/>
      <c r="F85" s="3" t="s">
        <v>253</v>
      </c>
      <c r="G85" s="3">
        <v>1.3210009999999999E-2</v>
      </c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3" t="s">
        <v>3018</v>
      </c>
      <c r="AQ85" s="213" t="s">
        <v>2933</v>
      </c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1:70" ht="15" x14ac:dyDescent="0.25">
      <c r="A86">
        <v>2</v>
      </c>
      <c r="B86" t="s">
        <v>2662</v>
      </c>
      <c r="C86">
        <v>35</v>
      </c>
      <c r="D86" s="128">
        <v>5.7837194751219997E-2</v>
      </c>
      <c r="E86" s="11"/>
      <c r="F86" s="3" t="s">
        <v>254</v>
      </c>
      <c r="G86" s="3">
        <v>2.3749880000000001E-2</v>
      </c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3" t="s">
        <v>3019</v>
      </c>
      <c r="AQ86" s="213" t="s">
        <v>2947</v>
      </c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1:70" ht="15" x14ac:dyDescent="0.25">
      <c r="A87">
        <v>2</v>
      </c>
      <c r="B87" t="s">
        <v>2662</v>
      </c>
      <c r="C87">
        <v>36</v>
      </c>
      <c r="D87" s="128">
        <v>6.1588652777320001E-2</v>
      </c>
      <c r="E87" s="11"/>
      <c r="F87" s="3" t="s">
        <v>255</v>
      </c>
      <c r="G87" s="3">
        <v>4.3910339999999999E-2</v>
      </c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3" t="s">
        <v>3020</v>
      </c>
      <c r="AQ87" s="213" t="s">
        <v>2933</v>
      </c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1:70" ht="15" x14ac:dyDescent="0.25">
      <c r="A88">
        <v>2</v>
      </c>
      <c r="B88" t="s">
        <v>2662</v>
      </c>
      <c r="C88">
        <v>37</v>
      </c>
      <c r="D88" s="128">
        <v>6.5465741578030007E-2</v>
      </c>
      <c r="E88" s="11"/>
      <c r="F88" s="3" t="s">
        <v>256</v>
      </c>
      <c r="G88" s="3">
        <v>0.16323687000000001</v>
      </c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3" t="s">
        <v>3021</v>
      </c>
      <c r="AQ88" s="213" t="s">
        <v>2937</v>
      </c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1:70" ht="15" x14ac:dyDescent="0.25">
      <c r="A89">
        <v>2</v>
      </c>
      <c r="B89" t="s">
        <v>2662</v>
      </c>
      <c r="C89">
        <v>38</v>
      </c>
      <c r="D89" s="128">
        <v>6.946716387212E-2</v>
      </c>
      <c r="E89" s="11"/>
      <c r="F89" s="3" t="s">
        <v>257</v>
      </c>
      <c r="G89" s="3">
        <v>8.3487039999999998E-2</v>
      </c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3" t="s">
        <v>3022</v>
      </c>
      <c r="AQ89" s="213" t="s">
        <v>2937</v>
      </c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1:70" ht="15" x14ac:dyDescent="0.25">
      <c r="A90">
        <v>2</v>
      </c>
      <c r="B90" t="s">
        <v>2662</v>
      </c>
      <c r="C90">
        <v>39</v>
      </c>
      <c r="D90" s="128">
        <v>7.3591929323039998E-2</v>
      </c>
      <c r="E90" s="11"/>
      <c r="F90" s="3" t="s">
        <v>258</v>
      </c>
      <c r="G90" s="3">
        <v>1.03E-4</v>
      </c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3" t="s">
        <v>3023</v>
      </c>
      <c r="AQ90" s="213" t="s">
        <v>2935</v>
      </c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1:70" ht="15" x14ac:dyDescent="0.25">
      <c r="A91">
        <v>2</v>
      </c>
      <c r="B91" t="s">
        <v>2662</v>
      </c>
      <c r="C91">
        <v>40</v>
      </c>
      <c r="D91" s="128">
        <v>7.7838352679099998E-2</v>
      </c>
      <c r="E91" s="11"/>
      <c r="F91" s="3" t="s">
        <v>259</v>
      </c>
      <c r="G91" s="3">
        <v>2.0599999999999999E-4</v>
      </c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3" t="s">
        <v>3024</v>
      </c>
      <c r="AQ91" s="213" t="s">
        <v>2947</v>
      </c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1:70" ht="15" x14ac:dyDescent="0.25">
      <c r="A92">
        <v>2</v>
      </c>
      <c r="B92" t="s">
        <v>2662</v>
      </c>
      <c r="C92">
        <v>41</v>
      </c>
      <c r="D92" s="128">
        <v>8.2278424171969997E-2</v>
      </c>
      <c r="E92" s="11"/>
      <c r="F92" s="3" t="s">
        <v>260</v>
      </c>
      <c r="G92" s="3">
        <v>3.0899999999999998E-4</v>
      </c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3" t="s">
        <v>3025</v>
      </c>
      <c r="AQ92" s="213" t="s">
        <v>2935</v>
      </c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1:70" ht="15" x14ac:dyDescent="0.25">
      <c r="A93">
        <v>2</v>
      </c>
      <c r="B93" t="s">
        <v>2662</v>
      </c>
      <c r="C93">
        <v>42</v>
      </c>
      <c r="D93" s="128">
        <v>8.6920111709370002E-2</v>
      </c>
      <c r="E93" s="11"/>
      <c r="F93" s="3" t="s">
        <v>261</v>
      </c>
      <c r="G93" s="3">
        <v>4.1199999999999999E-4</v>
      </c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3" t="s">
        <v>3026</v>
      </c>
      <c r="AQ93" s="213" t="s">
        <v>2935</v>
      </c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1:70" ht="15" x14ac:dyDescent="0.25">
      <c r="A94">
        <v>2</v>
      </c>
      <c r="B94" t="s">
        <v>2662</v>
      </c>
      <c r="C94">
        <v>43</v>
      </c>
      <c r="D94" s="128">
        <v>9.1771693040590005E-2</v>
      </c>
      <c r="E94" s="11"/>
      <c r="F94" s="3" t="s">
        <v>262</v>
      </c>
      <c r="G94" s="3">
        <v>5.1500000000000005E-4</v>
      </c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3" t="s">
        <v>3027</v>
      </c>
      <c r="AQ94" s="213" t="s">
        <v>2935</v>
      </c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1:70" ht="15" x14ac:dyDescent="0.25">
      <c r="A95">
        <v>2</v>
      </c>
      <c r="B95" t="s">
        <v>2662</v>
      </c>
      <c r="C95">
        <v>44</v>
      </c>
      <c r="D95" s="128">
        <v>9.6841767411960003E-2</v>
      </c>
      <c r="E95" s="11"/>
      <c r="F95" s="3" t="s">
        <v>263</v>
      </c>
      <c r="G95" s="3">
        <v>6.2074999999999999E-4</v>
      </c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3" t="s">
        <v>3028</v>
      </c>
      <c r="AQ95" s="213" t="s">
        <v>2935</v>
      </c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1:70" ht="15" x14ac:dyDescent="0.25">
      <c r="A96">
        <v>2</v>
      </c>
      <c r="B96" t="s">
        <v>2662</v>
      </c>
      <c r="C96">
        <v>45</v>
      </c>
      <c r="D96" s="128">
        <v>0.10213926765329</v>
      </c>
      <c r="E96" s="11"/>
      <c r="F96" s="3" t="s">
        <v>264</v>
      </c>
      <c r="G96" s="3">
        <v>9.1759000000000003E-4</v>
      </c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3" t="s">
        <v>3029</v>
      </c>
      <c r="AQ96" s="213" t="s">
        <v>2947</v>
      </c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1:70" ht="15" x14ac:dyDescent="0.25">
      <c r="A97">
        <v>2</v>
      </c>
      <c r="B97" t="s">
        <v>2662</v>
      </c>
      <c r="C97">
        <v>46</v>
      </c>
      <c r="D97" s="128">
        <v>0.10767347271126999</v>
      </c>
      <c r="E97" s="11"/>
      <c r="F97" s="3" t="s">
        <v>265</v>
      </c>
      <c r="G97" s="3">
        <v>1.3948400000000001E-3</v>
      </c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3" t="s">
        <v>3030</v>
      </c>
      <c r="AQ97" s="213" t="s">
        <v>2937</v>
      </c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1:70" ht="15" x14ac:dyDescent="0.25">
      <c r="A98">
        <v>2</v>
      </c>
      <c r="B98" t="s">
        <v>2662</v>
      </c>
      <c r="C98">
        <v>47</v>
      </c>
      <c r="D98" s="128">
        <v>0.11345402064639</v>
      </c>
      <c r="E98" s="11"/>
      <c r="F98" s="3" t="s">
        <v>266</v>
      </c>
      <c r="G98" s="3">
        <v>2.1246300000000002E-3</v>
      </c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3" t="s">
        <v>3031</v>
      </c>
      <c r="AQ98" s="213" t="s">
        <v>2935</v>
      </c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1:70" ht="15" x14ac:dyDescent="0.25">
      <c r="A99">
        <v>2</v>
      </c>
      <c r="B99" t="s">
        <v>2662</v>
      </c>
      <c r="C99">
        <v>48</v>
      </c>
      <c r="D99" s="128">
        <v>0.11949092211046999</v>
      </c>
      <c r="E99" s="11"/>
      <c r="F99" s="3" t="s">
        <v>267</v>
      </c>
      <c r="G99" s="3">
        <v>3.07018E-3</v>
      </c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3" t="s">
        <v>3032</v>
      </c>
      <c r="AQ99" s="213" t="s">
        <v>2947</v>
      </c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1:70" ht="15" x14ac:dyDescent="0.25">
      <c r="A100">
        <v>2</v>
      </c>
      <c r="B100" t="s">
        <v>2662</v>
      </c>
      <c r="C100">
        <v>49</v>
      </c>
      <c r="D100" s="128">
        <v>0.12579457432259</v>
      </c>
      <c r="E100" s="11"/>
      <c r="F100" s="3" t="s">
        <v>268</v>
      </c>
      <c r="G100" s="3">
        <v>4.4445400000000003E-3</v>
      </c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3" t="s">
        <v>3033</v>
      </c>
      <c r="AQ100" s="213" t="s">
        <v>2937</v>
      </c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1:70" ht="15" x14ac:dyDescent="0.25">
      <c r="A101">
        <v>2</v>
      </c>
      <c r="B101" t="s">
        <v>2662</v>
      </c>
      <c r="C101">
        <v>50</v>
      </c>
      <c r="D101" s="128">
        <v>0.13237577556197999</v>
      </c>
      <c r="E101" s="11"/>
      <c r="F101" s="3" t="s">
        <v>269</v>
      </c>
      <c r="G101" s="3">
        <v>7.5560000000000002E-3</v>
      </c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3" t="s">
        <v>3034</v>
      </c>
      <c r="AQ101" s="213" t="s">
        <v>2937</v>
      </c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1:70" ht="15" x14ac:dyDescent="0.25">
      <c r="A102">
        <v>11</v>
      </c>
      <c r="B102" t="s">
        <v>2663</v>
      </c>
      <c r="C102">
        <v>1</v>
      </c>
      <c r="D102" s="128">
        <v>5.6418855474100003E-3</v>
      </c>
      <c r="E102" s="11"/>
      <c r="F102" s="3" t="s">
        <v>270</v>
      </c>
      <c r="G102" s="3">
        <v>1.3210009999999999E-2</v>
      </c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3" t="s">
        <v>3035</v>
      </c>
      <c r="AQ102" s="213" t="s">
        <v>2933</v>
      </c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1:70" ht="15" x14ac:dyDescent="0.25">
      <c r="A103">
        <v>11</v>
      </c>
      <c r="B103" t="s">
        <v>2663</v>
      </c>
      <c r="C103">
        <v>2</v>
      </c>
      <c r="D103" s="128">
        <v>1.377988438011E-2</v>
      </c>
      <c r="E103" s="11"/>
      <c r="F103" s="3" t="s">
        <v>271</v>
      </c>
      <c r="G103" s="3">
        <v>2.3749880000000001E-2</v>
      </c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3" t="s">
        <v>3036</v>
      </c>
      <c r="AQ103" s="213" t="s">
        <v>2933</v>
      </c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1:70" ht="15" x14ac:dyDescent="0.25">
      <c r="A104">
        <v>11</v>
      </c>
      <c r="B104" t="s">
        <v>2663</v>
      </c>
      <c r="C104">
        <v>3</v>
      </c>
      <c r="D104" s="128">
        <v>2.286001901905E-2</v>
      </c>
      <c r="E104" s="11"/>
      <c r="F104" s="3" t="s">
        <v>272</v>
      </c>
      <c r="G104" s="3">
        <v>4.3910339999999999E-2</v>
      </c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3" t="s">
        <v>3037</v>
      </c>
      <c r="AQ104" s="213" t="s">
        <v>2931</v>
      </c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1:70" ht="15" x14ac:dyDescent="0.25">
      <c r="A105">
        <v>11</v>
      </c>
      <c r="B105" t="s">
        <v>2663</v>
      </c>
      <c r="C105">
        <v>4</v>
      </c>
      <c r="D105" s="128">
        <v>3.2857042786740003E-2</v>
      </c>
      <c r="E105" s="11"/>
      <c r="F105" s="3" t="s">
        <v>273</v>
      </c>
      <c r="G105" s="3">
        <v>8.3487039999999998E-2</v>
      </c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3" t="s">
        <v>3038</v>
      </c>
      <c r="AQ105" s="213" t="s">
        <v>2935</v>
      </c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1:70" ht="15" x14ac:dyDescent="0.25">
      <c r="A106">
        <v>11</v>
      </c>
      <c r="B106" t="s">
        <v>2663</v>
      </c>
      <c r="C106">
        <v>5</v>
      </c>
      <c r="D106" s="128">
        <v>4.5586073612360001E-2</v>
      </c>
      <c r="E106" s="11"/>
      <c r="F106" s="3" t="s">
        <v>274</v>
      </c>
      <c r="G106" s="3">
        <v>0.25</v>
      </c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3" t="s">
        <v>3039</v>
      </c>
      <c r="AQ106" s="213" t="s">
        <v>2947</v>
      </c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1:70" ht="15" x14ac:dyDescent="0.25">
      <c r="A107">
        <v>11</v>
      </c>
      <c r="B107" t="s">
        <v>2663</v>
      </c>
      <c r="C107">
        <v>6</v>
      </c>
      <c r="D107" s="128">
        <v>5.8727598976299998E-2</v>
      </c>
      <c r="E107" s="11"/>
      <c r="F107" s="3" t="s">
        <v>275</v>
      </c>
      <c r="G107" s="3">
        <v>0.35</v>
      </c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3" t="s">
        <v>3040</v>
      </c>
      <c r="AQ107" s="213" t="s">
        <v>2947</v>
      </c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1:70" ht="15" x14ac:dyDescent="0.25">
      <c r="A108">
        <v>11</v>
      </c>
      <c r="B108" t="s">
        <v>2663</v>
      </c>
      <c r="C108">
        <v>7</v>
      </c>
      <c r="D108" s="128">
        <v>7.3035848423019994E-2</v>
      </c>
      <c r="E108" s="11"/>
      <c r="F108" s="3" t="s">
        <v>276</v>
      </c>
      <c r="G108" s="3">
        <v>1</v>
      </c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3" t="s">
        <v>3041</v>
      </c>
      <c r="AQ108" s="213" t="s">
        <v>2937</v>
      </c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1:70" ht="15" x14ac:dyDescent="0.25">
      <c r="A109">
        <v>11</v>
      </c>
      <c r="B109" t="s">
        <v>2663</v>
      </c>
      <c r="C109">
        <v>8</v>
      </c>
      <c r="D109" s="128">
        <v>8.8389405704620005E-2</v>
      </c>
      <c r="E109" s="11"/>
      <c r="F109" s="3" t="s">
        <v>277</v>
      </c>
      <c r="G109" s="3">
        <v>1</v>
      </c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3" t="s">
        <v>3042</v>
      </c>
      <c r="AQ109" s="213" t="s">
        <v>2937</v>
      </c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1:70" ht="15" x14ac:dyDescent="0.25">
      <c r="A110">
        <v>11</v>
      </c>
      <c r="B110" t="s">
        <v>2663</v>
      </c>
      <c r="C110">
        <v>9</v>
      </c>
      <c r="D110" s="128">
        <v>0.10466721744059999</v>
      </c>
      <c r="E110" s="11"/>
      <c r="F110" s="3" t="s">
        <v>278</v>
      </c>
      <c r="G110" s="3">
        <v>1</v>
      </c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3" t="s">
        <v>3043</v>
      </c>
      <c r="AQ110" s="213" t="s">
        <v>2935</v>
      </c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1:70" ht="15" x14ac:dyDescent="0.25">
      <c r="A111">
        <v>11</v>
      </c>
      <c r="B111" t="s">
        <v>2663</v>
      </c>
      <c r="C111">
        <v>10</v>
      </c>
      <c r="D111" s="128">
        <v>0.12175119968806999</v>
      </c>
      <c r="E111" s="11"/>
      <c r="F111" s="3" t="s">
        <v>279</v>
      </c>
      <c r="G111" s="3">
        <v>0.16323687000000001</v>
      </c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3" t="s">
        <v>3044</v>
      </c>
      <c r="AQ111" s="213" t="s">
        <v>2947</v>
      </c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1:70" ht="15" x14ac:dyDescent="0.25">
      <c r="A112">
        <v>11</v>
      </c>
      <c r="B112" t="s">
        <v>2663</v>
      </c>
      <c r="C112">
        <v>11</v>
      </c>
      <c r="D112" s="128">
        <v>0.1395283744352</v>
      </c>
      <c r="E112" s="11"/>
      <c r="F112" s="3" t="s">
        <v>280</v>
      </c>
      <c r="G112" s="3">
        <v>0.16323687000000001</v>
      </c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3" t="s">
        <v>3045</v>
      </c>
      <c r="AQ112" s="213" t="s">
        <v>2947</v>
      </c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1:70" ht="15" x14ac:dyDescent="0.25">
      <c r="A113">
        <v>11</v>
      </c>
      <c r="B113" t="s">
        <v>2663</v>
      </c>
      <c r="C113">
        <v>12</v>
      </c>
      <c r="D113" s="128">
        <v>0.15789203439905</v>
      </c>
      <c r="E113" s="11"/>
      <c r="F113" s="3" t="s">
        <v>281</v>
      </c>
      <c r="G113" s="3">
        <v>0.16323687000000001</v>
      </c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3" t="s">
        <v>3046</v>
      </c>
      <c r="AQ113" s="213" t="s">
        <v>2933</v>
      </c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1:70" ht="15" x14ac:dyDescent="0.25">
      <c r="A114">
        <v>11</v>
      </c>
      <c r="B114" t="s">
        <v>2663</v>
      </c>
      <c r="C114">
        <v>13</v>
      </c>
      <c r="D114" s="128">
        <v>0.17674295594038</v>
      </c>
      <c r="E114" s="11"/>
      <c r="F114" s="3" t="s">
        <v>282</v>
      </c>
      <c r="G114" s="3">
        <v>0.16323687000000001</v>
      </c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3" t="s">
        <v>3047</v>
      </c>
      <c r="AQ114" s="213" t="s">
        <v>2935</v>
      </c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1:70" ht="15" x14ac:dyDescent="0.25">
      <c r="A115">
        <v>11</v>
      </c>
      <c r="B115" t="s">
        <v>2663</v>
      </c>
      <c r="C115">
        <v>14</v>
      </c>
      <c r="D115" s="128">
        <v>0.19598951947248999</v>
      </c>
      <c r="E115" s="11"/>
      <c r="F115" s="3" t="s">
        <v>283</v>
      </c>
      <c r="G115" s="3">
        <v>0.16323687000000001</v>
      </c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3" t="s">
        <v>3048</v>
      </c>
      <c r="AQ115" s="213" t="s">
        <v>2935</v>
      </c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1:70" ht="15" x14ac:dyDescent="0.25">
      <c r="A116">
        <v>11</v>
      </c>
      <c r="B116" t="s">
        <v>2663</v>
      </c>
      <c r="C116">
        <v>15</v>
      </c>
      <c r="D116" s="128">
        <v>0.21554860240778001</v>
      </c>
      <c r="E116" s="11"/>
      <c r="F116" s="3" t="s">
        <v>284</v>
      </c>
      <c r="G116" s="3">
        <v>0.16323687000000001</v>
      </c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3" t="s">
        <v>3049</v>
      </c>
      <c r="AQ116" s="213" t="s">
        <v>2935</v>
      </c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1:70" ht="15" x14ac:dyDescent="0.25">
      <c r="A117">
        <v>11</v>
      </c>
      <c r="B117" t="s">
        <v>2663</v>
      </c>
      <c r="C117">
        <v>16</v>
      </c>
      <c r="D117" s="128">
        <v>0.23534489805239001</v>
      </c>
      <c r="E117" s="11"/>
      <c r="F117" s="3" t="s">
        <v>285</v>
      </c>
      <c r="G117" s="3">
        <v>0.16323687000000001</v>
      </c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3" t="s">
        <v>3050</v>
      </c>
      <c r="AQ117" s="213" t="s">
        <v>2931</v>
      </c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1:70" ht="15" x14ac:dyDescent="0.25">
      <c r="A118">
        <v>11</v>
      </c>
      <c r="B118" t="s">
        <v>2663</v>
      </c>
      <c r="C118">
        <v>17</v>
      </c>
      <c r="D118" s="128">
        <v>0.25531105392890002</v>
      </c>
      <c r="E118" s="11"/>
      <c r="F118" s="3" t="s">
        <v>286</v>
      </c>
      <c r="G118" s="3">
        <v>0.16323687000000001</v>
      </c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3" t="s">
        <v>3051</v>
      </c>
      <c r="AQ118" s="213" t="s">
        <v>2937</v>
      </c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1:70" ht="15" x14ac:dyDescent="0.25">
      <c r="A119">
        <v>11</v>
      </c>
      <c r="B119" t="s">
        <v>2663</v>
      </c>
      <c r="C119">
        <v>18</v>
      </c>
      <c r="D119" s="128">
        <v>0.27538740412330998</v>
      </c>
      <c r="E119" s="11"/>
      <c r="F119" s="3" t="s">
        <v>287</v>
      </c>
      <c r="G119" s="3">
        <v>3.0899999999999998E-4</v>
      </c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3" t="s">
        <v>3052</v>
      </c>
      <c r="AQ119" s="213" t="s">
        <v>2935</v>
      </c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1:70" ht="15" x14ac:dyDescent="0.25">
      <c r="A120">
        <v>11</v>
      </c>
      <c r="B120" t="s">
        <v>2663</v>
      </c>
      <c r="C120">
        <v>19</v>
      </c>
      <c r="D120" s="128">
        <v>0.29552122796326002</v>
      </c>
      <c r="E120" s="11"/>
      <c r="F120" s="3" t="s">
        <v>288</v>
      </c>
      <c r="G120" s="3">
        <v>4.1199999999999999E-4</v>
      </c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3" t="s">
        <v>3053</v>
      </c>
      <c r="AQ120" s="213" t="s">
        <v>2933</v>
      </c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1:70" ht="15" x14ac:dyDescent="0.25">
      <c r="A121">
        <v>11</v>
      </c>
      <c r="B121" t="s">
        <v>2663</v>
      </c>
      <c r="C121">
        <v>20</v>
      </c>
      <c r="D121" s="128">
        <v>0.31566661905422</v>
      </c>
      <c r="E121" s="11"/>
      <c r="F121" s="3" t="s">
        <v>289</v>
      </c>
      <c r="G121" s="3">
        <v>5.1500000000000005E-4</v>
      </c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3" t="s">
        <v>3054</v>
      </c>
      <c r="AQ121" s="213" t="s">
        <v>2935</v>
      </c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1:70" ht="15" x14ac:dyDescent="0.25">
      <c r="A122">
        <v>11</v>
      </c>
      <c r="B122" t="s">
        <v>2663</v>
      </c>
      <c r="C122">
        <v>21</v>
      </c>
      <c r="D122" s="128">
        <v>0.33581210987318</v>
      </c>
      <c r="E122" s="11"/>
      <c r="F122" s="3" t="s">
        <v>290</v>
      </c>
      <c r="G122" s="3">
        <v>6.2074999999999999E-4</v>
      </c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3" t="s">
        <v>3055</v>
      </c>
      <c r="AQ122" s="213" t="s">
        <v>2935</v>
      </c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1:70" ht="15" x14ac:dyDescent="0.25">
      <c r="A123">
        <v>11</v>
      </c>
      <c r="B123" t="s">
        <v>2663</v>
      </c>
      <c r="C123">
        <v>22</v>
      </c>
      <c r="D123" s="128">
        <v>0.35595750299346002</v>
      </c>
      <c r="E123" s="11"/>
      <c r="F123" s="3" t="s">
        <v>291</v>
      </c>
      <c r="G123" s="3">
        <v>9.1759000000000003E-4</v>
      </c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3" t="s">
        <v>3056</v>
      </c>
      <c r="AQ123" s="213" t="s">
        <v>2933</v>
      </c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1:70" ht="15" x14ac:dyDescent="0.25">
      <c r="A124">
        <v>11</v>
      </c>
      <c r="B124" t="s">
        <v>2663</v>
      </c>
      <c r="C124">
        <v>23</v>
      </c>
      <c r="D124" s="128">
        <v>0.37610286357459999</v>
      </c>
      <c r="E124" s="11"/>
      <c r="F124" s="3" t="s">
        <v>292</v>
      </c>
      <c r="G124" s="3">
        <v>1.3948400000000001E-3</v>
      </c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3" t="s">
        <v>3057</v>
      </c>
      <c r="AQ124" s="213" t="s">
        <v>2933</v>
      </c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1:70" ht="15" x14ac:dyDescent="0.25">
      <c r="A125">
        <v>11</v>
      </c>
      <c r="B125" t="s">
        <v>2663</v>
      </c>
      <c r="C125">
        <v>24</v>
      </c>
      <c r="D125" s="128">
        <v>0.39624804431048</v>
      </c>
      <c r="E125" s="11"/>
      <c r="F125" s="3" t="s">
        <v>293</v>
      </c>
      <c r="G125" s="3">
        <v>2.1246300000000002E-3</v>
      </c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3" t="s">
        <v>3058</v>
      </c>
      <c r="AQ125" s="213" t="s">
        <v>2933</v>
      </c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1:70" ht="15" x14ac:dyDescent="0.25">
      <c r="A126">
        <v>11</v>
      </c>
      <c r="B126" t="s">
        <v>2663</v>
      </c>
      <c r="C126">
        <v>25</v>
      </c>
      <c r="D126" s="128">
        <v>0.41639345003470002</v>
      </c>
      <c r="E126" s="11"/>
      <c r="F126" s="3" t="s">
        <v>294</v>
      </c>
      <c r="G126" s="3">
        <v>3.07018E-3</v>
      </c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3" t="s">
        <v>3059</v>
      </c>
      <c r="AQ126" s="213" t="s">
        <v>2935</v>
      </c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1:70" ht="15" x14ac:dyDescent="0.25">
      <c r="A127">
        <v>11</v>
      </c>
      <c r="B127" t="s">
        <v>2663</v>
      </c>
      <c r="C127">
        <v>26</v>
      </c>
      <c r="D127" s="128">
        <v>0.43653849840130998</v>
      </c>
      <c r="E127" s="11"/>
      <c r="F127" s="3" t="s">
        <v>295</v>
      </c>
      <c r="G127" s="3">
        <v>4.4445400000000003E-3</v>
      </c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3" t="s">
        <v>3060</v>
      </c>
      <c r="AQ127" s="213" t="s">
        <v>2931</v>
      </c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1:70" ht="15" x14ac:dyDescent="0.25">
      <c r="A128">
        <v>11</v>
      </c>
      <c r="B128" t="s">
        <v>2663</v>
      </c>
      <c r="C128">
        <v>27</v>
      </c>
      <c r="D128" s="128">
        <v>0.45668371141821001</v>
      </c>
      <c r="E128" s="11"/>
      <c r="F128" s="3" t="s">
        <v>296</v>
      </c>
      <c r="G128" s="3">
        <v>7.5560000000000002E-3</v>
      </c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3" t="s">
        <v>3061</v>
      </c>
      <c r="AQ128" s="213" t="s">
        <v>2947</v>
      </c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1:70" ht="15" x14ac:dyDescent="0.25">
      <c r="A129">
        <v>11</v>
      </c>
      <c r="B129" t="s">
        <v>2663</v>
      </c>
      <c r="C129">
        <v>28</v>
      </c>
      <c r="D129" s="128">
        <v>0.4768290426265</v>
      </c>
      <c r="E129" s="11"/>
      <c r="F129" s="3" t="s">
        <v>297</v>
      </c>
      <c r="G129" s="3">
        <v>1.3210009999999999E-2</v>
      </c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3" t="s">
        <v>3062</v>
      </c>
      <c r="AQ129" s="213" t="s">
        <v>2933</v>
      </c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1:70" ht="15" x14ac:dyDescent="0.25">
      <c r="A130">
        <v>11</v>
      </c>
      <c r="B130" t="s">
        <v>2663</v>
      </c>
      <c r="C130">
        <v>29</v>
      </c>
      <c r="D130" s="128">
        <v>0.49697425977838</v>
      </c>
      <c r="E130" s="11"/>
      <c r="F130" s="3" t="s">
        <v>298</v>
      </c>
      <c r="G130" s="3">
        <v>2.3749880000000001E-2</v>
      </c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3" t="s">
        <v>3063</v>
      </c>
      <c r="AQ130" s="213" t="s">
        <v>2937</v>
      </c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1:70" ht="15" x14ac:dyDescent="0.25">
      <c r="A131">
        <v>11</v>
      </c>
      <c r="B131" t="s">
        <v>2663</v>
      </c>
      <c r="C131">
        <v>30</v>
      </c>
      <c r="D131" s="128">
        <v>0.51711932808384997</v>
      </c>
      <c r="E131" s="11"/>
      <c r="F131" s="3" t="s">
        <v>299</v>
      </c>
      <c r="G131" s="3">
        <v>4.3910339999999999E-2</v>
      </c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3" t="s">
        <v>3064</v>
      </c>
      <c r="AQ131" s="213" t="s">
        <v>2933</v>
      </c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1:70" ht="15" x14ac:dyDescent="0.25">
      <c r="A132">
        <v>11</v>
      </c>
      <c r="B132" t="s">
        <v>2663</v>
      </c>
      <c r="C132">
        <v>31</v>
      </c>
      <c r="D132" s="128">
        <v>0.53726442867711</v>
      </c>
      <c r="E132" s="11"/>
      <c r="F132" s="3" t="s">
        <v>300</v>
      </c>
      <c r="G132" s="3">
        <v>8.3487039999999998E-2</v>
      </c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3" t="s">
        <v>3065</v>
      </c>
      <c r="AQ132" s="213" t="s">
        <v>2935</v>
      </c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1:70" ht="15" x14ac:dyDescent="0.25">
      <c r="A133">
        <v>11</v>
      </c>
      <c r="B133" t="s">
        <v>2663</v>
      </c>
      <c r="C133">
        <v>32</v>
      </c>
      <c r="D133" s="128">
        <v>0.55740947741485003</v>
      </c>
      <c r="E133" s="11"/>
      <c r="F133" s="3" t="s">
        <v>301</v>
      </c>
      <c r="G133" s="3">
        <v>0.25</v>
      </c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3" t="s">
        <v>3066</v>
      </c>
      <c r="AQ133" s="213" t="s">
        <v>2935</v>
      </c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1:70" ht="15" x14ac:dyDescent="0.25">
      <c r="A134">
        <v>11</v>
      </c>
      <c r="B134" t="s">
        <v>2663</v>
      </c>
      <c r="C134">
        <v>33</v>
      </c>
      <c r="D134" s="128">
        <v>0.57755459520466002</v>
      </c>
      <c r="E134" s="11"/>
      <c r="F134" s="3" t="s">
        <v>302</v>
      </c>
      <c r="G134" s="3">
        <v>0.35</v>
      </c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3" t="s">
        <v>3067</v>
      </c>
      <c r="AQ134" s="213" t="s">
        <v>2935</v>
      </c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1:70" ht="15" x14ac:dyDescent="0.25">
      <c r="A135">
        <v>11</v>
      </c>
      <c r="B135" t="s">
        <v>2663</v>
      </c>
      <c r="C135">
        <v>34</v>
      </c>
      <c r="D135" s="128">
        <v>0.59769977114508999</v>
      </c>
      <c r="E135" s="11"/>
      <c r="F135" s="3" t="s">
        <v>303</v>
      </c>
      <c r="G135" s="3">
        <v>1</v>
      </c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3" t="s">
        <v>3068</v>
      </c>
      <c r="AQ135" s="213" t="s">
        <v>2937</v>
      </c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1:70" ht="15" x14ac:dyDescent="0.25">
      <c r="A136">
        <v>11</v>
      </c>
      <c r="B136" t="s">
        <v>2663</v>
      </c>
      <c r="C136">
        <v>35</v>
      </c>
      <c r="D136" s="128">
        <v>0.61784486207986</v>
      </c>
      <c r="E136" s="11"/>
      <c r="F136" s="3" t="s">
        <v>304</v>
      </c>
      <c r="G136" s="3">
        <v>1</v>
      </c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3" t="s">
        <v>3069</v>
      </c>
      <c r="AQ136" s="213" t="s">
        <v>2933</v>
      </c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1:70" ht="15" x14ac:dyDescent="0.25">
      <c r="A137">
        <v>11</v>
      </c>
      <c r="B137" t="s">
        <v>2663</v>
      </c>
      <c r="C137">
        <v>36</v>
      </c>
      <c r="D137" s="128">
        <v>0.63798999604914997</v>
      </c>
      <c r="E137" s="11"/>
      <c r="F137" s="3" t="s">
        <v>305</v>
      </c>
      <c r="G137" s="3">
        <v>1</v>
      </c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3" t="s">
        <v>3070</v>
      </c>
      <c r="AQ137" s="213" t="s">
        <v>2935</v>
      </c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1:70" ht="15" x14ac:dyDescent="0.25">
      <c r="A138">
        <v>11</v>
      </c>
      <c r="B138" t="s">
        <v>2663</v>
      </c>
      <c r="C138">
        <v>37</v>
      </c>
      <c r="D138" s="128">
        <v>0.65813502402933</v>
      </c>
      <c r="E138" s="11"/>
      <c r="F138" s="3" t="s">
        <v>306</v>
      </c>
      <c r="G138" s="3">
        <v>1.03E-4</v>
      </c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3" t="s">
        <v>3071</v>
      </c>
      <c r="AQ138" s="213" t="s">
        <v>2937</v>
      </c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1:70" ht="15" x14ac:dyDescent="0.25">
      <c r="A139">
        <v>11</v>
      </c>
      <c r="B139" t="s">
        <v>2663</v>
      </c>
      <c r="C139">
        <v>38</v>
      </c>
      <c r="D139" s="128">
        <v>0.67828001003077998</v>
      </c>
      <c r="E139" s="11"/>
      <c r="F139" s="3" t="s">
        <v>307</v>
      </c>
      <c r="G139" s="3">
        <v>2.0599999999999999E-4</v>
      </c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3" t="s">
        <v>3072</v>
      </c>
      <c r="AQ139" s="213" t="s">
        <v>2933</v>
      </c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  <row r="140" spans="1:70" ht="15" x14ac:dyDescent="0.25">
      <c r="A140">
        <v>11</v>
      </c>
      <c r="B140" t="s">
        <v>2663</v>
      </c>
      <c r="C140">
        <v>39</v>
      </c>
      <c r="D140" s="128">
        <v>0.69842508672131998</v>
      </c>
      <c r="E140" s="11"/>
      <c r="F140" s="3" t="s">
        <v>308</v>
      </c>
      <c r="G140" s="3">
        <v>3.0899999999999998E-4</v>
      </c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3" t="s">
        <v>3073</v>
      </c>
      <c r="AQ140" s="213" t="s">
        <v>2933</v>
      </c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</row>
    <row r="141" spans="1:70" ht="15" x14ac:dyDescent="0.25">
      <c r="A141">
        <v>11</v>
      </c>
      <c r="B141" t="s">
        <v>2663</v>
      </c>
      <c r="C141">
        <v>40</v>
      </c>
      <c r="D141" s="128">
        <v>0.71856992633382</v>
      </c>
      <c r="E141" s="11"/>
      <c r="F141" s="3" t="s">
        <v>309</v>
      </c>
      <c r="G141" s="3">
        <v>4.1199999999999999E-4</v>
      </c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3" t="s">
        <v>3074</v>
      </c>
      <c r="AQ141" s="213" t="s">
        <v>2935</v>
      </c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</row>
    <row r="142" spans="1:70" ht="15" x14ac:dyDescent="0.25">
      <c r="A142">
        <v>11</v>
      </c>
      <c r="B142" t="s">
        <v>2663</v>
      </c>
      <c r="C142">
        <v>41</v>
      </c>
      <c r="D142" s="128">
        <v>0.73883381311268004</v>
      </c>
      <c r="E142" s="11"/>
      <c r="F142" s="3" t="s">
        <v>310</v>
      </c>
      <c r="G142" s="3">
        <v>5.1500000000000005E-4</v>
      </c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3" t="s">
        <v>3075</v>
      </c>
      <c r="AQ142" s="213" t="s">
        <v>2933</v>
      </c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</row>
    <row r="143" spans="1:70" ht="15" x14ac:dyDescent="0.25">
      <c r="A143">
        <v>11</v>
      </c>
      <c r="B143" t="s">
        <v>2663</v>
      </c>
      <c r="C143">
        <v>42</v>
      </c>
      <c r="D143" s="128">
        <v>0.75921729921797998</v>
      </c>
      <c r="E143" s="11"/>
      <c r="F143" s="3" t="s">
        <v>311</v>
      </c>
      <c r="G143" s="3">
        <v>6.2074999999999999E-4</v>
      </c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3" t="s">
        <v>3076</v>
      </c>
      <c r="AQ143" s="213" t="s">
        <v>2935</v>
      </c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</row>
    <row r="144" spans="1:70" ht="15" x14ac:dyDescent="0.25">
      <c r="A144">
        <v>11</v>
      </c>
      <c r="B144" t="s">
        <v>2663</v>
      </c>
      <c r="C144">
        <v>43</v>
      </c>
      <c r="D144" s="128">
        <v>0.77972093914976004</v>
      </c>
      <c r="E144" s="11"/>
      <c r="F144" s="3" t="s">
        <v>312</v>
      </c>
      <c r="G144" s="3">
        <v>9.1759000000000003E-4</v>
      </c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3" t="s">
        <v>3077</v>
      </c>
      <c r="AQ144" s="213" t="s">
        <v>2937</v>
      </c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</row>
    <row r="145" spans="1:70" ht="15" x14ac:dyDescent="0.25">
      <c r="A145">
        <v>11</v>
      </c>
      <c r="B145" t="s">
        <v>2663</v>
      </c>
      <c r="C145">
        <v>44</v>
      </c>
      <c r="D145" s="128">
        <v>0.80034528975773001</v>
      </c>
      <c r="E145" s="11"/>
      <c r="F145" s="3" t="s">
        <v>313</v>
      </c>
      <c r="G145" s="3">
        <v>1.3948400000000001E-3</v>
      </c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3" t="s">
        <v>3078</v>
      </c>
      <c r="AQ145" s="213" t="s">
        <v>2933</v>
      </c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</row>
    <row r="146" spans="1:70" ht="15" x14ac:dyDescent="0.25">
      <c r="A146">
        <v>11</v>
      </c>
      <c r="B146" t="s">
        <v>2663</v>
      </c>
      <c r="C146">
        <v>45</v>
      </c>
      <c r="D146" s="128">
        <v>0.82109091025094005</v>
      </c>
      <c r="E146" s="11"/>
      <c r="F146" s="3" t="s">
        <v>314</v>
      </c>
      <c r="G146" s="3">
        <v>2.1246300000000002E-3</v>
      </c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3" t="s">
        <v>3079</v>
      </c>
      <c r="AQ146" s="213" t="s">
        <v>2935</v>
      </c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</row>
    <row r="147" spans="1:70" ht="15" x14ac:dyDescent="0.25">
      <c r="A147">
        <v>11</v>
      </c>
      <c r="B147" t="s">
        <v>2663</v>
      </c>
      <c r="C147">
        <v>46</v>
      </c>
      <c r="D147" s="128">
        <v>0.84195836220751996</v>
      </c>
      <c r="E147" s="11"/>
      <c r="F147" s="3" t="s">
        <v>315</v>
      </c>
      <c r="G147" s="3">
        <v>3.07018E-3</v>
      </c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3" t="s">
        <v>3080</v>
      </c>
      <c r="AQ147" s="213" t="s">
        <v>2937</v>
      </c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</row>
    <row r="148" spans="1:70" ht="15" x14ac:dyDescent="0.25">
      <c r="A148">
        <v>11</v>
      </c>
      <c r="B148" t="s">
        <v>2663</v>
      </c>
      <c r="C148">
        <v>47</v>
      </c>
      <c r="D148" s="128">
        <v>0.86294820958447005</v>
      </c>
      <c r="E148" s="11"/>
      <c r="F148" s="3" t="s">
        <v>316</v>
      </c>
      <c r="G148" s="3">
        <v>4.4445400000000003E-3</v>
      </c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3" t="s">
        <v>3081</v>
      </c>
      <c r="AQ148" s="213" t="s">
        <v>2935</v>
      </c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</row>
    <row r="149" spans="1:70" ht="15" x14ac:dyDescent="0.25">
      <c r="A149">
        <v>11</v>
      </c>
      <c r="B149" t="s">
        <v>2663</v>
      </c>
      <c r="C149">
        <v>48</v>
      </c>
      <c r="D149" s="128">
        <v>0.88406101872748999</v>
      </c>
      <c r="E149" s="11"/>
      <c r="F149" s="3" t="s">
        <v>317</v>
      </c>
      <c r="G149" s="3">
        <v>7.5560000000000002E-3</v>
      </c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3" t="s">
        <v>3082</v>
      </c>
      <c r="AQ149" s="213" t="s">
        <v>2935</v>
      </c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</row>
    <row r="150" spans="1:70" ht="15" x14ac:dyDescent="0.25">
      <c r="A150">
        <v>11</v>
      </c>
      <c r="B150" t="s">
        <v>2663</v>
      </c>
      <c r="C150">
        <v>49</v>
      </c>
      <c r="D150" s="128">
        <v>0.90529735838085001</v>
      </c>
      <c r="E150" s="11"/>
      <c r="F150" s="3" t="s">
        <v>318</v>
      </c>
      <c r="G150" s="3">
        <v>1.3210009999999999E-2</v>
      </c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3" t="s">
        <v>3083</v>
      </c>
      <c r="AQ150" s="213" t="s">
        <v>2935</v>
      </c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</row>
    <row r="151" spans="1:70" ht="15" x14ac:dyDescent="0.25">
      <c r="A151">
        <v>11</v>
      </c>
      <c r="B151" t="s">
        <v>2663</v>
      </c>
      <c r="C151">
        <v>50</v>
      </c>
      <c r="D151" s="128">
        <v>0.92665779969729001</v>
      </c>
      <c r="E151" s="11"/>
      <c r="F151" s="3" t="s">
        <v>319</v>
      </c>
      <c r="G151" s="3">
        <v>2.3749880000000001E-2</v>
      </c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3" t="s">
        <v>3084</v>
      </c>
      <c r="AQ151" s="213" t="s">
        <v>2933</v>
      </c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</row>
    <row r="152" spans="1:70" ht="15" x14ac:dyDescent="0.25">
      <c r="A152">
        <v>12</v>
      </c>
      <c r="B152" t="s">
        <v>2664</v>
      </c>
      <c r="C152">
        <v>1</v>
      </c>
      <c r="D152" s="128">
        <v>9.6106345564899998E-3</v>
      </c>
      <c r="E152" s="11"/>
      <c r="F152" s="3" t="s">
        <v>320</v>
      </c>
      <c r="G152" s="3">
        <v>4.3910339999999999E-2</v>
      </c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3" t="s">
        <v>3085</v>
      </c>
      <c r="AQ152" s="213" t="s">
        <v>2935</v>
      </c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</row>
    <row r="153" spans="1:70" ht="15" x14ac:dyDescent="0.25">
      <c r="A153">
        <v>12</v>
      </c>
      <c r="B153" t="s">
        <v>2664</v>
      </c>
      <c r="C153">
        <v>2</v>
      </c>
      <c r="D153" s="128">
        <v>2.303486592337E-2</v>
      </c>
      <c r="E153" s="11"/>
      <c r="F153" s="3" t="s">
        <v>321</v>
      </c>
      <c r="G153" s="3">
        <v>8.3487039999999998E-2</v>
      </c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3" t="s">
        <v>3086</v>
      </c>
      <c r="AQ153" s="213" t="s">
        <v>2935</v>
      </c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</row>
    <row r="154" spans="1:70" ht="15" x14ac:dyDescent="0.25">
      <c r="A154">
        <v>12</v>
      </c>
      <c r="B154" t="s">
        <v>2664</v>
      </c>
      <c r="C154">
        <v>3</v>
      </c>
      <c r="D154" s="128">
        <v>3.7540347108E-2</v>
      </c>
      <c r="E154" s="11"/>
      <c r="F154" s="3" t="s">
        <v>322</v>
      </c>
      <c r="G154" s="3">
        <v>0.16323687000000001</v>
      </c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3" t="s">
        <v>3087</v>
      </c>
      <c r="AQ154" s="213" t="s">
        <v>2933</v>
      </c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</row>
    <row r="155" spans="1:70" ht="15" x14ac:dyDescent="0.25">
      <c r="A155">
        <v>12</v>
      </c>
      <c r="B155" t="s">
        <v>2664</v>
      </c>
      <c r="C155">
        <v>4</v>
      </c>
      <c r="D155" s="128">
        <v>5.2975538325450003E-2</v>
      </c>
      <c r="E155" s="11"/>
      <c r="F155" s="3" t="s">
        <v>323</v>
      </c>
      <c r="G155" s="3">
        <v>0.25</v>
      </c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3" t="s">
        <v>3088</v>
      </c>
      <c r="AQ155" s="213" t="s">
        <v>2935</v>
      </c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</row>
    <row r="156" spans="1:70" ht="15" x14ac:dyDescent="0.25">
      <c r="A156">
        <v>12</v>
      </c>
      <c r="B156" t="s">
        <v>2664</v>
      </c>
      <c r="C156">
        <v>5</v>
      </c>
      <c r="D156" s="128">
        <v>7.5642170004000003E-2</v>
      </c>
      <c r="E156" s="11"/>
      <c r="F156" s="3" t="s">
        <v>324</v>
      </c>
      <c r="G156" s="3">
        <v>0.35</v>
      </c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3" t="s">
        <v>3089</v>
      </c>
      <c r="AQ156" s="213" t="s">
        <v>2935</v>
      </c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</row>
    <row r="157" spans="1:70" ht="15" x14ac:dyDescent="0.25">
      <c r="A157">
        <v>12</v>
      </c>
      <c r="B157" t="s">
        <v>2664</v>
      </c>
      <c r="C157">
        <v>6</v>
      </c>
      <c r="D157" s="128">
        <v>9.8308291429619998E-2</v>
      </c>
      <c r="E157" s="11"/>
      <c r="F157" s="3" t="s">
        <v>325</v>
      </c>
      <c r="G157" s="3">
        <v>1</v>
      </c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3" t="s">
        <v>3090</v>
      </c>
      <c r="AQ157" s="213" t="s">
        <v>2947</v>
      </c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</row>
    <row r="158" spans="1:70" ht="15" x14ac:dyDescent="0.25">
      <c r="A158">
        <v>12</v>
      </c>
      <c r="B158" t="s">
        <v>2664</v>
      </c>
      <c r="C158">
        <v>7</v>
      </c>
      <c r="D158" s="128">
        <v>0.12097419211598</v>
      </c>
      <c r="E158" s="11"/>
      <c r="F158" s="3" t="s">
        <v>326</v>
      </c>
      <c r="G158" s="3">
        <v>1</v>
      </c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3" t="s">
        <v>3091</v>
      </c>
      <c r="AQ158" s="213" t="s">
        <v>2937</v>
      </c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</row>
    <row r="159" spans="1:70" ht="15" x14ac:dyDescent="0.25">
      <c r="A159">
        <v>12</v>
      </c>
      <c r="B159" t="s">
        <v>2664</v>
      </c>
      <c r="C159">
        <v>8</v>
      </c>
      <c r="D159" s="128">
        <v>0.14411839536417001</v>
      </c>
      <c r="E159" s="11"/>
      <c r="F159" s="3" t="s">
        <v>327</v>
      </c>
      <c r="G159" s="3">
        <v>1</v>
      </c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3" t="s">
        <v>3092</v>
      </c>
      <c r="AQ159" s="213" t="s">
        <v>2947</v>
      </c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</row>
    <row r="160" spans="1:70" ht="15" x14ac:dyDescent="0.25">
      <c r="A160">
        <v>12</v>
      </c>
      <c r="B160" t="s">
        <v>2664</v>
      </c>
      <c r="C160">
        <v>9</v>
      </c>
      <c r="D160" s="128">
        <v>0.16819991807213999</v>
      </c>
      <c r="E160" s="11"/>
      <c r="F160" s="3" t="s">
        <v>328</v>
      </c>
      <c r="G160" s="3">
        <v>0.16323687000000001</v>
      </c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3" t="s">
        <v>3093</v>
      </c>
      <c r="AQ160" s="213" t="s">
        <v>2935</v>
      </c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</row>
    <row r="161" spans="1:70" ht="15" x14ac:dyDescent="0.25">
      <c r="A161">
        <v>12</v>
      </c>
      <c r="B161" t="s">
        <v>2664</v>
      </c>
      <c r="C161">
        <v>10</v>
      </c>
      <c r="D161" s="128">
        <v>0.19302550096691001</v>
      </c>
      <c r="E161" s="11"/>
      <c r="F161" s="3" t="s">
        <v>329</v>
      </c>
      <c r="G161" s="3">
        <v>2.0076E-4</v>
      </c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3" t="s">
        <v>3094</v>
      </c>
      <c r="AQ161" s="213" t="s">
        <v>2935</v>
      </c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</row>
    <row r="162" spans="1:70" ht="15" x14ac:dyDescent="0.25">
      <c r="A162">
        <v>12</v>
      </c>
      <c r="B162" t="s">
        <v>2664</v>
      </c>
      <c r="C162">
        <v>11</v>
      </c>
      <c r="D162" s="128">
        <v>0.21842100211667001</v>
      </c>
      <c r="E162" s="11"/>
      <c r="F162" s="3" t="s">
        <v>330</v>
      </c>
      <c r="G162" s="3">
        <v>5.5897E-4</v>
      </c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3" t="s">
        <v>3095</v>
      </c>
      <c r="AQ162" s="213" t="s">
        <v>2935</v>
      </c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</row>
    <row r="163" spans="1:70" ht="15" x14ac:dyDescent="0.25">
      <c r="A163">
        <v>12</v>
      </c>
      <c r="B163" t="s">
        <v>2664</v>
      </c>
      <c r="C163">
        <v>12</v>
      </c>
      <c r="D163" s="128">
        <v>0.24423138875761</v>
      </c>
      <c r="E163" s="11"/>
      <c r="F163" s="3" t="s">
        <v>331</v>
      </c>
      <c r="G163" s="3">
        <v>7.2966000000000003E-4</v>
      </c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3" t="s">
        <v>3096</v>
      </c>
      <c r="AQ163" s="213" t="s">
        <v>2935</v>
      </c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</row>
    <row r="164" spans="1:70" ht="15" x14ac:dyDescent="0.25">
      <c r="A164">
        <v>12</v>
      </c>
      <c r="B164" t="s">
        <v>2664</v>
      </c>
      <c r="C164">
        <v>13</v>
      </c>
      <c r="D164" s="128">
        <v>0.27032025022572997</v>
      </c>
      <c r="E164" s="11"/>
      <c r="F164" s="3" t="s">
        <v>332</v>
      </c>
      <c r="G164" s="3">
        <v>1.51169E-3</v>
      </c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3" t="s">
        <v>3097</v>
      </c>
      <c r="AQ164" s="213" t="s">
        <v>2935</v>
      </c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</row>
    <row r="165" spans="1:70" ht="15" x14ac:dyDescent="0.25">
      <c r="A165">
        <v>12</v>
      </c>
      <c r="B165" t="s">
        <v>2664</v>
      </c>
      <c r="C165">
        <v>14</v>
      </c>
      <c r="D165" s="128">
        <v>0.29656890056639001</v>
      </c>
      <c r="E165" s="11"/>
      <c r="F165" s="3" t="s">
        <v>333</v>
      </c>
      <c r="G165" s="3">
        <v>3.0701000000000001E-3</v>
      </c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3" t="s">
        <v>3098</v>
      </c>
      <c r="AQ165" s="213" t="s">
        <v>2947</v>
      </c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</row>
    <row r="166" spans="1:70" ht="15" x14ac:dyDescent="0.25">
      <c r="A166">
        <v>12</v>
      </c>
      <c r="B166" t="s">
        <v>2664</v>
      </c>
      <c r="C166">
        <v>15</v>
      </c>
      <c r="D166" s="128">
        <v>0.32287466852164998</v>
      </c>
      <c r="E166" s="11"/>
      <c r="F166" s="3" t="s">
        <v>334</v>
      </c>
      <c r="G166" s="3">
        <v>7.1433E-3</v>
      </c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3" t="s">
        <v>3099</v>
      </c>
      <c r="AQ166" s="213" t="s">
        <v>2947</v>
      </c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</row>
    <row r="167" spans="1:70" ht="15" x14ac:dyDescent="0.25">
      <c r="A167">
        <v>12</v>
      </c>
      <c r="B167" t="s">
        <v>2664</v>
      </c>
      <c r="C167">
        <v>16</v>
      </c>
      <c r="D167" s="128">
        <v>0.34918031493703999</v>
      </c>
      <c r="E167" s="11"/>
      <c r="F167" s="3" t="s">
        <v>335</v>
      </c>
      <c r="G167" s="3">
        <v>1.3813270000000001E-2</v>
      </c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3" t="s">
        <v>3100</v>
      </c>
      <c r="AQ167" s="213" t="s">
        <v>2933</v>
      </c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</row>
    <row r="168" spans="1:70" ht="15" x14ac:dyDescent="0.25">
      <c r="A168">
        <v>12</v>
      </c>
      <c r="B168" t="s">
        <v>2664</v>
      </c>
      <c r="C168">
        <v>17</v>
      </c>
      <c r="D168" s="128">
        <v>0.37548590361982997</v>
      </c>
      <c r="E168" s="11"/>
      <c r="F168" s="3" t="s">
        <v>336</v>
      </c>
      <c r="G168" s="3">
        <v>2.970799E-2</v>
      </c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3" t="s">
        <v>3101</v>
      </c>
      <c r="AQ168" s="213" t="s">
        <v>2933</v>
      </c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</row>
    <row r="169" spans="1:70" ht="15" x14ac:dyDescent="0.25">
      <c r="A169">
        <v>12</v>
      </c>
      <c r="B169" t="s">
        <v>2664</v>
      </c>
      <c r="C169">
        <v>18</v>
      </c>
      <c r="D169" s="128">
        <v>0.40179157837544999</v>
      </c>
      <c r="E169" s="11"/>
      <c r="F169" s="3" t="s">
        <v>337</v>
      </c>
      <c r="G169" s="3">
        <v>5.9244900000000003E-2</v>
      </c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3" t="s">
        <v>3102</v>
      </c>
      <c r="AQ169" s="213" t="s">
        <v>2933</v>
      </c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</row>
    <row r="170" spans="1:70" ht="15" x14ac:dyDescent="0.25">
      <c r="A170">
        <v>12</v>
      </c>
      <c r="B170" t="s">
        <v>2664</v>
      </c>
      <c r="C170">
        <v>19</v>
      </c>
      <c r="D170" s="128">
        <v>0.42809717313960999</v>
      </c>
      <c r="E170" s="11"/>
      <c r="F170" s="3" t="s">
        <v>338</v>
      </c>
      <c r="G170" s="3">
        <v>0.12161585</v>
      </c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3" t="s">
        <v>3103</v>
      </c>
      <c r="AQ170" s="213" t="s">
        <v>2935</v>
      </c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</row>
    <row r="171" spans="1:70" ht="15" x14ac:dyDescent="0.25">
      <c r="A171">
        <v>12</v>
      </c>
      <c r="B171" t="s">
        <v>2664</v>
      </c>
      <c r="C171">
        <v>20</v>
      </c>
      <c r="D171" s="128">
        <v>0.45440259436319003</v>
      </c>
      <c r="E171" s="11"/>
      <c r="F171" s="3" t="s">
        <v>339</v>
      </c>
      <c r="G171" s="3">
        <v>0.22217542000000001</v>
      </c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3" t="s">
        <v>3104</v>
      </c>
      <c r="AQ171" s="213" t="s">
        <v>2933</v>
      </c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</row>
    <row r="172" spans="1:70" ht="15" x14ac:dyDescent="0.25">
      <c r="A172">
        <v>12</v>
      </c>
      <c r="B172" t="s">
        <v>2664</v>
      </c>
      <c r="C172">
        <v>21</v>
      </c>
      <c r="D172" s="128">
        <v>0.48070814797701999</v>
      </c>
      <c r="E172" s="11"/>
      <c r="F172" s="3" t="s">
        <v>340</v>
      </c>
      <c r="G172" s="3">
        <v>0.30765239</v>
      </c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3" t="s">
        <v>3105</v>
      </c>
      <c r="AQ172" s="213" t="s">
        <v>2931</v>
      </c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</row>
    <row r="173" spans="1:70" ht="15" x14ac:dyDescent="0.25">
      <c r="A173">
        <v>12</v>
      </c>
      <c r="B173" t="s">
        <v>2664</v>
      </c>
      <c r="C173">
        <v>22</v>
      </c>
      <c r="D173" s="128">
        <v>0.50701368696350002</v>
      </c>
      <c r="E173" s="11"/>
      <c r="F173" s="3" t="s">
        <v>341</v>
      </c>
      <c r="G173" s="3">
        <v>1</v>
      </c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3" t="s">
        <v>3106</v>
      </c>
      <c r="AQ173" s="213" t="s">
        <v>2933</v>
      </c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</row>
    <row r="174" spans="1:70" ht="15" x14ac:dyDescent="0.25">
      <c r="A174">
        <v>12</v>
      </c>
      <c r="B174" t="s">
        <v>2664</v>
      </c>
      <c r="C174">
        <v>23</v>
      </c>
      <c r="D174" s="128">
        <v>0.53331914848147</v>
      </c>
      <c r="E174" s="11"/>
      <c r="F174" s="3" t="s">
        <v>342</v>
      </c>
      <c r="G174" s="3">
        <v>1</v>
      </c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3" t="s">
        <v>3107</v>
      </c>
      <c r="AQ174" s="213" t="s">
        <v>2935</v>
      </c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</row>
    <row r="175" spans="1:70" ht="15" x14ac:dyDescent="0.25">
      <c r="A175">
        <v>12</v>
      </c>
      <c r="B175" t="s">
        <v>2664</v>
      </c>
      <c r="C175">
        <v>24</v>
      </c>
      <c r="D175" s="128">
        <v>0.55962456059653998</v>
      </c>
      <c r="E175" s="11"/>
      <c r="F175" s="3" t="s">
        <v>343</v>
      </c>
      <c r="G175" s="3">
        <v>1</v>
      </c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3" t="s">
        <v>3108</v>
      </c>
      <c r="AQ175" s="213" t="s">
        <v>2935</v>
      </c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</row>
    <row r="176" spans="1:70" ht="15" x14ac:dyDescent="0.25">
      <c r="A176">
        <v>12</v>
      </c>
      <c r="B176" t="s">
        <v>2664</v>
      </c>
      <c r="C176">
        <v>25</v>
      </c>
      <c r="D176" s="128">
        <v>0.58593008917606004</v>
      </c>
      <c r="E176" s="11"/>
      <c r="F176" s="3" t="s">
        <v>344</v>
      </c>
      <c r="G176" s="3">
        <v>1.67215E-2</v>
      </c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3" t="s">
        <v>3109</v>
      </c>
      <c r="AQ176" s="213" t="s">
        <v>2933</v>
      </c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</row>
    <row r="177" spans="1:70" ht="15" x14ac:dyDescent="0.25">
      <c r="A177">
        <v>12</v>
      </c>
      <c r="B177" t="s">
        <v>2664</v>
      </c>
      <c r="C177">
        <v>26</v>
      </c>
      <c r="D177" s="128">
        <v>0.61223547443967996</v>
      </c>
      <c r="E177" s="11"/>
      <c r="F177" s="3" t="s">
        <v>345</v>
      </c>
      <c r="G177" s="3">
        <v>0.16323687000000001</v>
      </c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3" t="s">
        <v>3110</v>
      </c>
      <c r="AQ177" s="213" t="s">
        <v>2933</v>
      </c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</row>
    <row r="178" spans="1:70" ht="15" x14ac:dyDescent="0.25">
      <c r="A178">
        <v>12</v>
      </c>
      <c r="B178" t="s">
        <v>2664</v>
      </c>
      <c r="C178">
        <v>27</v>
      </c>
      <c r="D178" s="128">
        <v>0.63854097531665999</v>
      </c>
      <c r="E178" s="11"/>
      <c r="F178" s="3" t="s">
        <v>346</v>
      </c>
      <c r="G178" s="3">
        <v>0.16323687000000001</v>
      </c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3" t="s">
        <v>3111</v>
      </c>
      <c r="AQ178" s="213" t="s">
        <v>2935</v>
      </c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</row>
    <row r="179" spans="1:70" ht="15" x14ac:dyDescent="0.25">
      <c r="A179">
        <v>12</v>
      </c>
      <c r="B179" t="s">
        <v>2664</v>
      </c>
      <c r="C179">
        <v>28</v>
      </c>
      <c r="D179" s="128">
        <v>0.66484630417393997</v>
      </c>
      <c r="E179" s="11"/>
      <c r="F179" s="3" t="s">
        <v>347</v>
      </c>
      <c r="G179" s="3">
        <v>0.16323687000000001</v>
      </c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3" t="s">
        <v>3112</v>
      </c>
      <c r="AQ179" s="213" t="s">
        <v>2937</v>
      </c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</row>
    <row r="180" spans="1:70" ht="15" x14ac:dyDescent="0.25">
      <c r="A180">
        <v>12</v>
      </c>
      <c r="B180" t="s">
        <v>2664</v>
      </c>
      <c r="C180">
        <v>29</v>
      </c>
      <c r="D180" s="128">
        <v>0.69115178870709004</v>
      </c>
      <c r="E180" s="11"/>
      <c r="F180" s="3" t="s">
        <v>348</v>
      </c>
      <c r="G180" s="3">
        <v>0.25</v>
      </c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3" t="s">
        <v>3113</v>
      </c>
      <c r="AQ180" s="213" t="s">
        <v>2937</v>
      </c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</row>
    <row r="181" spans="1:70" ht="15" x14ac:dyDescent="0.25">
      <c r="A181">
        <v>12</v>
      </c>
      <c r="B181" t="s">
        <v>2664</v>
      </c>
      <c r="C181">
        <v>30</v>
      </c>
      <c r="D181" s="128">
        <v>0.71745699147842001</v>
      </c>
      <c r="E181" s="11"/>
      <c r="F181" s="3" t="s">
        <v>349</v>
      </c>
      <c r="G181" s="3">
        <v>5.1500000000000005E-4</v>
      </c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3" t="s">
        <v>3114</v>
      </c>
      <c r="AQ181" s="213" t="s">
        <v>2937</v>
      </c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</row>
    <row r="182" spans="1:70" ht="15" x14ac:dyDescent="0.25">
      <c r="A182">
        <v>12</v>
      </c>
      <c r="B182" t="s">
        <v>2664</v>
      </c>
      <c r="C182">
        <v>31</v>
      </c>
      <c r="D182" s="128">
        <v>0.74376251302870999</v>
      </c>
      <c r="E182" s="11"/>
      <c r="F182" s="3" t="s">
        <v>350</v>
      </c>
      <c r="G182" s="3">
        <v>2.1246300000000002E-3</v>
      </c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3" t="s">
        <v>3115</v>
      </c>
      <c r="AQ182" s="213" t="s">
        <v>2933</v>
      </c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</row>
    <row r="183" spans="1:70" ht="15" x14ac:dyDescent="0.25">
      <c r="A183">
        <v>12</v>
      </c>
      <c r="B183" t="s">
        <v>2664</v>
      </c>
      <c r="C183">
        <v>32</v>
      </c>
      <c r="D183" s="128">
        <v>0.77006785246581</v>
      </c>
      <c r="E183" s="11"/>
      <c r="F183" s="3" t="s">
        <v>351</v>
      </c>
      <c r="G183" s="3">
        <v>4.4445400000000003E-3</v>
      </c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3" t="s">
        <v>3116</v>
      </c>
      <c r="AQ183" s="213" t="s">
        <v>2937</v>
      </c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</row>
    <row r="184" spans="1:70" ht="15" x14ac:dyDescent="0.25">
      <c r="A184">
        <v>12</v>
      </c>
      <c r="B184" t="s">
        <v>2664</v>
      </c>
      <c r="C184">
        <v>33</v>
      </c>
      <c r="D184" s="128">
        <v>0.79637314192141995</v>
      </c>
      <c r="E184" s="11"/>
      <c r="F184" s="3" t="s">
        <v>352</v>
      </c>
      <c r="G184" s="3">
        <v>1.3210009999999999E-2</v>
      </c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3" t="s">
        <v>3117</v>
      </c>
      <c r="AQ184" s="213" t="s">
        <v>2933</v>
      </c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</row>
    <row r="185" spans="1:70" ht="15" x14ac:dyDescent="0.25">
      <c r="A185">
        <v>12</v>
      </c>
      <c r="B185" t="s">
        <v>2664</v>
      </c>
      <c r="C185">
        <v>34</v>
      </c>
      <c r="D185" s="128">
        <v>0.82267861401627995</v>
      </c>
      <c r="E185" s="11"/>
      <c r="F185" s="3" t="s">
        <v>353</v>
      </c>
      <c r="G185" s="3">
        <v>8.3487039999999998E-2</v>
      </c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3" t="s">
        <v>3118</v>
      </c>
      <c r="AQ185" s="213" t="s">
        <v>2933</v>
      </c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</row>
    <row r="186" spans="1:70" ht="15" x14ac:dyDescent="0.25">
      <c r="A186">
        <v>12</v>
      </c>
      <c r="B186" t="s">
        <v>2664</v>
      </c>
      <c r="C186">
        <v>35</v>
      </c>
      <c r="D186" s="128">
        <v>0.84898400998558998</v>
      </c>
      <c r="E186" s="11"/>
      <c r="F186" s="3" t="s">
        <v>354</v>
      </c>
      <c r="G186" s="3">
        <v>1.03E-4</v>
      </c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3" t="s">
        <v>3119</v>
      </c>
      <c r="AQ186" s="213" t="s">
        <v>2935</v>
      </c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</row>
    <row r="187" spans="1:70" ht="15" x14ac:dyDescent="0.25">
      <c r="A187">
        <v>12</v>
      </c>
      <c r="B187" t="s">
        <v>2664</v>
      </c>
      <c r="C187">
        <v>36</v>
      </c>
      <c r="D187" s="128">
        <v>0.87528934847969997</v>
      </c>
      <c r="E187" s="11"/>
      <c r="F187" s="3" t="s">
        <v>355</v>
      </c>
      <c r="G187" s="3">
        <v>2.0599999999999999E-4</v>
      </c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3" t="s">
        <v>3120</v>
      </c>
      <c r="AQ187" s="213" t="s">
        <v>2937</v>
      </c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</row>
    <row r="188" spans="1:70" ht="15" x14ac:dyDescent="0.25">
      <c r="A188">
        <v>12</v>
      </c>
      <c r="B188" t="s">
        <v>2664</v>
      </c>
      <c r="C188">
        <v>37</v>
      </c>
      <c r="D188" s="128">
        <v>0.90159441265565998</v>
      </c>
      <c r="E188" s="11"/>
      <c r="F188" s="3" t="s">
        <v>356</v>
      </c>
      <c r="G188" s="3">
        <v>3.0899999999999998E-4</v>
      </c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3" t="s">
        <v>3121</v>
      </c>
      <c r="AQ188" s="213" t="s">
        <v>2935</v>
      </c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</row>
    <row r="189" spans="1:70" ht="15" x14ac:dyDescent="0.25">
      <c r="A189">
        <v>12</v>
      </c>
      <c r="B189" t="s">
        <v>2664</v>
      </c>
      <c r="C189">
        <v>38</v>
      </c>
      <c r="D189" s="128">
        <v>0.92790005176775003</v>
      </c>
      <c r="E189" s="11"/>
      <c r="F189" s="3" t="s">
        <v>357</v>
      </c>
      <c r="G189" s="3">
        <v>4.1199999999999999E-4</v>
      </c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3" t="s">
        <v>3122</v>
      </c>
      <c r="AQ189" s="213" t="s">
        <v>2937</v>
      </c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</row>
    <row r="190" spans="1:70" ht="15" x14ac:dyDescent="0.25">
      <c r="A190">
        <v>12</v>
      </c>
      <c r="B190" t="s">
        <v>2664</v>
      </c>
      <c r="C190">
        <v>39</v>
      </c>
      <c r="D190" s="128">
        <v>0.95420510415253001</v>
      </c>
      <c r="E190" s="11"/>
      <c r="F190" s="3" t="s">
        <v>358</v>
      </c>
      <c r="G190" s="3">
        <v>5.1500000000000005E-4</v>
      </c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3" t="s">
        <v>3123</v>
      </c>
      <c r="AQ190" s="213" t="s">
        <v>2937</v>
      </c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</row>
    <row r="191" spans="1:70" ht="15" x14ac:dyDescent="0.25">
      <c r="A191">
        <v>12</v>
      </c>
      <c r="B191" t="s">
        <v>2664</v>
      </c>
      <c r="C191">
        <v>40</v>
      </c>
      <c r="D191" s="128">
        <v>0.98051073639919994</v>
      </c>
      <c r="E191" s="11"/>
      <c r="F191" s="3" t="s">
        <v>359</v>
      </c>
      <c r="G191" s="3">
        <v>6.2074999999999999E-4</v>
      </c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3" t="s">
        <v>3124</v>
      </c>
      <c r="AQ191" s="213" t="s">
        <v>2937</v>
      </c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</row>
    <row r="192" spans="1:70" ht="15" x14ac:dyDescent="0.25">
      <c r="A192">
        <v>12</v>
      </c>
      <c r="B192" t="s">
        <v>2664</v>
      </c>
      <c r="C192">
        <v>41</v>
      </c>
      <c r="D192" s="128">
        <v>1.0069118954225</v>
      </c>
      <c r="E192" s="11"/>
      <c r="F192" s="3" t="s">
        <v>360</v>
      </c>
      <c r="G192" s="3">
        <v>9.1759000000000003E-4</v>
      </c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3" t="s">
        <v>3125</v>
      </c>
      <c r="AQ192" s="213" t="s">
        <v>2937</v>
      </c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</row>
    <row r="193" spans="1:70" ht="15" x14ac:dyDescent="0.25">
      <c r="A193">
        <v>12</v>
      </c>
      <c r="B193" t="s">
        <v>2664</v>
      </c>
      <c r="C193">
        <v>42</v>
      </c>
      <c r="D193" s="128">
        <v>1.0334088506975201</v>
      </c>
      <c r="E193" s="11"/>
      <c r="F193" s="3" t="s">
        <v>361</v>
      </c>
      <c r="G193" s="3">
        <v>1.3948400000000001E-3</v>
      </c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3" t="s">
        <v>3126</v>
      </c>
      <c r="AQ193" s="213" t="s">
        <v>2937</v>
      </c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</row>
    <row r="194" spans="1:70" ht="15" x14ac:dyDescent="0.25">
      <c r="A194">
        <v>12</v>
      </c>
      <c r="B194" t="s">
        <v>2664</v>
      </c>
      <c r="C194">
        <v>43</v>
      </c>
      <c r="D194" s="128">
        <v>1.0600018723956901</v>
      </c>
      <c r="E194" s="11"/>
      <c r="F194" s="3" t="s">
        <v>362</v>
      </c>
      <c r="G194" s="3">
        <v>2.1246300000000002E-3</v>
      </c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3" t="s">
        <v>3127</v>
      </c>
      <c r="AQ194" s="213" t="s">
        <v>2933</v>
      </c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</row>
    <row r="195" spans="1:70" ht="15" x14ac:dyDescent="0.25">
      <c r="A195">
        <v>12</v>
      </c>
      <c r="B195" t="s">
        <v>2664</v>
      </c>
      <c r="C195">
        <v>44</v>
      </c>
      <c r="D195" s="128">
        <v>1.08669123138655</v>
      </c>
      <c r="E195" s="11"/>
      <c r="F195" s="3" t="s">
        <v>363</v>
      </c>
      <c r="G195" s="3">
        <v>3.07018E-3</v>
      </c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3" t="s">
        <v>3128</v>
      </c>
      <c r="AQ195" s="213" t="s">
        <v>2937</v>
      </c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</row>
    <row r="196" spans="1:70" ht="15" x14ac:dyDescent="0.25">
      <c r="A196">
        <v>12</v>
      </c>
      <c r="B196" t="s">
        <v>2664</v>
      </c>
      <c r="C196">
        <v>45</v>
      </c>
      <c r="D196" s="128">
        <v>1.11347719923959</v>
      </c>
      <c r="E196" s="11"/>
      <c r="F196" s="3" t="s">
        <v>364</v>
      </c>
      <c r="G196" s="3">
        <v>4.4445400000000003E-3</v>
      </c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3" t="s">
        <v>3129</v>
      </c>
      <c r="AQ196" s="213" t="s">
        <v>2935</v>
      </c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</row>
    <row r="197" spans="1:70" ht="15" x14ac:dyDescent="0.25">
      <c r="A197">
        <v>12</v>
      </c>
      <c r="B197" t="s">
        <v>2664</v>
      </c>
      <c r="C197">
        <v>46</v>
      </c>
      <c r="D197" s="128">
        <v>1.1403600482259599</v>
      </c>
      <c r="E197" s="11"/>
      <c r="F197" s="3" t="s">
        <v>365</v>
      </c>
      <c r="G197" s="3">
        <v>7.5560000000000002E-3</v>
      </c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3" t="s">
        <v>3130</v>
      </c>
      <c r="AQ197" s="213" t="s">
        <v>2933</v>
      </c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</row>
    <row r="198" spans="1:70" ht="15" x14ac:dyDescent="0.25">
      <c r="A198">
        <v>12</v>
      </c>
      <c r="B198" t="s">
        <v>2664</v>
      </c>
      <c r="C198">
        <v>47</v>
      </c>
      <c r="D198" s="128">
        <v>1.1673400513202501</v>
      </c>
      <c r="E198" s="11"/>
      <c r="F198" s="3" t="s">
        <v>366</v>
      </c>
      <c r="G198" s="3">
        <v>1.3210009999999999E-2</v>
      </c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3" t="s">
        <v>3131</v>
      </c>
      <c r="AQ198" s="213" t="s">
        <v>2933</v>
      </c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</row>
    <row r="199" spans="1:70" ht="15" x14ac:dyDescent="0.25">
      <c r="A199">
        <v>12</v>
      </c>
      <c r="B199" t="s">
        <v>2664</v>
      </c>
      <c r="C199">
        <v>48</v>
      </c>
      <c r="D199" s="128">
        <v>1.1944174822023701</v>
      </c>
      <c r="E199" s="11"/>
      <c r="F199" s="3" t="s">
        <v>367</v>
      </c>
      <c r="G199" s="3">
        <v>2.3749880000000001E-2</v>
      </c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3" t="s">
        <v>3132</v>
      </c>
      <c r="AQ199" s="213" t="s">
        <v>2935</v>
      </c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</row>
    <row r="200" spans="1:70" ht="15" x14ac:dyDescent="0.25">
      <c r="A200">
        <v>12</v>
      </c>
      <c r="B200" t="s">
        <v>2664</v>
      </c>
      <c r="C200">
        <v>49</v>
      </c>
      <c r="D200" s="128">
        <v>1.22159261525921</v>
      </c>
      <c r="E200" s="11"/>
      <c r="F200" s="3" t="s">
        <v>368</v>
      </c>
      <c r="G200" s="3">
        <v>4.3910339999999999E-2</v>
      </c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3" t="s">
        <v>3133</v>
      </c>
      <c r="AQ200" s="213" t="s">
        <v>2937</v>
      </c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</row>
    <row r="201" spans="1:70" ht="15" x14ac:dyDescent="0.25">
      <c r="A201">
        <v>12</v>
      </c>
      <c r="B201" t="s">
        <v>2664</v>
      </c>
      <c r="C201">
        <v>50</v>
      </c>
      <c r="D201" s="128">
        <v>1.2488657255865601</v>
      </c>
      <c r="E201" s="11"/>
      <c r="F201" s="3" t="s">
        <v>369</v>
      </c>
      <c r="G201" s="3">
        <v>8.3487039999999998E-2</v>
      </c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3" t="s">
        <v>3134</v>
      </c>
      <c r="AQ201" s="213" t="s">
        <v>2935</v>
      </c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</row>
    <row r="202" spans="1:70" ht="15" x14ac:dyDescent="0.25">
      <c r="A202">
        <v>13</v>
      </c>
      <c r="B202" t="s">
        <v>2665</v>
      </c>
      <c r="C202">
        <v>1</v>
      </c>
      <c r="D202" s="128">
        <v>1.6862882583040001E-2</v>
      </c>
      <c r="E202" s="11"/>
      <c r="F202" s="3" t="s">
        <v>370</v>
      </c>
      <c r="G202" s="3">
        <v>0.16323687000000001</v>
      </c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3" t="s">
        <v>3135</v>
      </c>
      <c r="AQ202" s="213" t="s">
        <v>2947</v>
      </c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</row>
    <row r="203" spans="1:70" ht="15" x14ac:dyDescent="0.25">
      <c r="A203">
        <v>13</v>
      </c>
      <c r="B203" t="s">
        <v>2665</v>
      </c>
      <c r="C203">
        <v>2</v>
      </c>
      <c r="D203" s="128">
        <v>3.920775950331E-2</v>
      </c>
      <c r="E203" s="11"/>
      <c r="F203" s="3" t="s">
        <v>371</v>
      </c>
      <c r="G203" s="3">
        <v>0.25</v>
      </c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3" t="s">
        <v>3136</v>
      </c>
      <c r="AQ203" s="213" t="s">
        <v>2937</v>
      </c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</row>
    <row r="204" spans="1:70" ht="15" x14ac:dyDescent="0.25">
      <c r="A204">
        <v>13</v>
      </c>
      <c r="B204" t="s">
        <v>2665</v>
      </c>
      <c r="C204">
        <v>3</v>
      </c>
      <c r="D204" s="128">
        <v>6.2797467381979999E-2</v>
      </c>
      <c r="E204" s="11"/>
      <c r="F204" s="3" t="s">
        <v>372</v>
      </c>
      <c r="G204" s="3">
        <v>0.35</v>
      </c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3" t="s">
        <v>3137</v>
      </c>
      <c r="AQ204" s="213" t="s">
        <v>2937</v>
      </c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</row>
    <row r="205" spans="1:70" ht="15" x14ac:dyDescent="0.25">
      <c r="A205">
        <v>13</v>
      </c>
      <c r="B205" t="s">
        <v>2665</v>
      </c>
      <c r="C205">
        <v>4</v>
      </c>
      <c r="D205" s="128">
        <v>8.715697369863E-2</v>
      </c>
      <c r="E205" s="11"/>
      <c r="F205" s="3" t="s">
        <v>373</v>
      </c>
      <c r="G205" s="3">
        <v>1</v>
      </c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3" t="s">
        <v>3138</v>
      </c>
      <c r="AQ205" s="213" t="s">
        <v>2933</v>
      </c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</row>
    <row r="206" spans="1:70" ht="15" x14ac:dyDescent="0.25">
      <c r="A206">
        <v>13</v>
      </c>
      <c r="B206" t="s">
        <v>2665</v>
      </c>
      <c r="C206">
        <v>5</v>
      </c>
      <c r="D206" s="128">
        <v>0.12752590354250001</v>
      </c>
      <c r="E206" s="11"/>
      <c r="F206" s="3" t="s">
        <v>374</v>
      </c>
      <c r="G206" s="3">
        <v>1</v>
      </c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3" t="s">
        <v>3139</v>
      </c>
      <c r="AQ206" s="213" t="s">
        <v>2935</v>
      </c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</row>
    <row r="207" spans="1:70" ht="15" x14ac:dyDescent="0.25">
      <c r="A207">
        <v>13</v>
      </c>
      <c r="B207" t="s">
        <v>2665</v>
      </c>
      <c r="C207">
        <v>6</v>
      </c>
      <c r="D207" s="128">
        <v>0.16789398281289999</v>
      </c>
      <c r="E207" s="11"/>
      <c r="F207" s="3" t="s">
        <v>375</v>
      </c>
      <c r="G207" s="3">
        <v>1</v>
      </c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3" t="s">
        <v>3140</v>
      </c>
      <c r="AQ207" s="213" t="s">
        <v>2931</v>
      </c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</row>
    <row r="208" spans="1:70" ht="15" x14ac:dyDescent="0.25">
      <c r="A208">
        <v>13</v>
      </c>
      <c r="B208" t="s">
        <v>2665</v>
      </c>
      <c r="C208">
        <v>7</v>
      </c>
      <c r="D208" s="128">
        <v>0.20826153823759</v>
      </c>
      <c r="E208" s="11"/>
      <c r="F208" s="3" t="s">
        <v>376</v>
      </c>
      <c r="G208" s="3">
        <v>1.03E-4</v>
      </c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3" t="s">
        <v>3141</v>
      </c>
      <c r="AQ208" s="213" t="s">
        <v>2933</v>
      </c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</row>
    <row r="209" spans="1:70" ht="15" x14ac:dyDescent="0.25">
      <c r="A209">
        <v>13</v>
      </c>
      <c r="B209" t="s">
        <v>2665</v>
      </c>
      <c r="C209">
        <v>8</v>
      </c>
      <c r="D209" s="128">
        <v>0.24862884143183001</v>
      </c>
      <c r="E209" s="11"/>
      <c r="F209" s="3" t="s">
        <v>377</v>
      </c>
      <c r="G209" s="3">
        <v>2.0599999999999999E-4</v>
      </c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3" t="s">
        <v>3142</v>
      </c>
      <c r="AQ209" s="213" t="s">
        <v>2947</v>
      </c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</row>
    <row r="210" spans="1:70" ht="15" x14ac:dyDescent="0.25">
      <c r="A210">
        <v>13</v>
      </c>
      <c r="B210" t="s">
        <v>2665</v>
      </c>
      <c r="C210">
        <v>9</v>
      </c>
      <c r="D210" s="128">
        <v>0.28899588970098</v>
      </c>
      <c r="E210" s="11"/>
      <c r="F210" s="3" t="s">
        <v>378</v>
      </c>
      <c r="G210" s="3">
        <v>3.0899999999999998E-4</v>
      </c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3" t="s">
        <v>3143</v>
      </c>
      <c r="AQ210" s="213" t="s">
        <v>2931</v>
      </c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</row>
    <row r="211" spans="1:70" ht="15" x14ac:dyDescent="0.25">
      <c r="A211">
        <v>13</v>
      </c>
      <c r="B211" t="s">
        <v>2665</v>
      </c>
      <c r="C211">
        <v>10</v>
      </c>
      <c r="D211" s="128">
        <v>0.32936271934479</v>
      </c>
      <c r="E211" s="11"/>
      <c r="F211" s="3" t="s">
        <v>379</v>
      </c>
      <c r="G211" s="3">
        <v>4.1199999999999999E-4</v>
      </c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3" t="s">
        <v>3144</v>
      </c>
      <c r="AQ211" s="213" t="s">
        <v>2937</v>
      </c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</row>
    <row r="212" spans="1:70" ht="15" x14ac:dyDescent="0.25">
      <c r="A212">
        <v>13</v>
      </c>
      <c r="B212" t="s">
        <v>2665</v>
      </c>
      <c r="C212">
        <v>11</v>
      </c>
      <c r="D212" s="128">
        <v>0.36972952517864999</v>
      </c>
      <c r="E212" s="11"/>
      <c r="F212" s="3" t="s">
        <v>380</v>
      </c>
      <c r="G212" s="3">
        <v>5.1500000000000005E-4</v>
      </c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3" t="s">
        <v>3145</v>
      </c>
      <c r="AQ212" s="213" t="s">
        <v>2935</v>
      </c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</row>
    <row r="213" spans="1:70" ht="15" x14ac:dyDescent="0.25">
      <c r="A213">
        <v>13</v>
      </c>
      <c r="B213" t="s">
        <v>2665</v>
      </c>
      <c r="C213">
        <v>12</v>
      </c>
      <c r="D213" s="128">
        <v>0.41009631023755999</v>
      </c>
      <c r="E213" s="11"/>
      <c r="F213" s="3" t="s">
        <v>381</v>
      </c>
      <c r="G213" s="3">
        <v>6.2074999999999999E-4</v>
      </c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3" t="s">
        <v>3146</v>
      </c>
      <c r="AQ213" s="213" t="s">
        <v>2931</v>
      </c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</row>
    <row r="214" spans="1:70" ht="15" x14ac:dyDescent="0.25">
      <c r="A214">
        <v>13</v>
      </c>
      <c r="B214" t="s">
        <v>2665</v>
      </c>
      <c r="C214">
        <v>13</v>
      </c>
      <c r="D214" s="128">
        <v>0.45046296016565002</v>
      </c>
      <c r="E214" s="11"/>
      <c r="F214" s="3" t="s">
        <v>382</v>
      </c>
      <c r="G214" s="3">
        <v>9.1759000000000003E-4</v>
      </c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3" t="s">
        <v>3147</v>
      </c>
      <c r="AQ214" s="213" t="s">
        <v>2935</v>
      </c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</row>
    <row r="215" spans="1:70" ht="15" x14ac:dyDescent="0.25">
      <c r="A215">
        <v>13</v>
      </c>
      <c r="B215" t="s">
        <v>2665</v>
      </c>
      <c r="C215">
        <v>14</v>
      </c>
      <c r="D215" s="128">
        <v>0.49082955629351999</v>
      </c>
      <c r="E215" s="11"/>
      <c r="F215" s="3" t="s">
        <v>383</v>
      </c>
      <c r="G215" s="3">
        <v>1.3948400000000001E-3</v>
      </c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3" t="s">
        <v>3148</v>
      </c>
      <c r="AQ215" s="213" t="s">
        <v>2947</v>
      </c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</row>
    <row r="216" spans="1:70" ht="15" x14ac:dyDescent="0.25">
      <c r="A216">
        <v>13</v>
      </c>
      <c r="B216" t="s">
        <v>2665</v>
      </c>
      <c r="C216">
        <v>15</v>
      </c>
      <c r="D216" s="128">
        <v>0.53119608001041996</v>
      </c>
      <c r="E216" s="11"/>
      <c r="F216" s="3" t="s">
        <v>384</v>
      </c>
      <c r="G216" s="3">
        <v>2.1246300000000002E-3</v>
      </c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3" t="s">
        <v>3149</v>
      </c>
      <c r="AQ216" s="213" t="s">
        <v>2935</v>
      </c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</row>
    <row r="217" spans="1:70" ht="15" x14ac:dyDescent="0.25">
      <c r="A217">
        <v>13</v>
      </c>
      <c r="B217" t="s">
        <v>2665</v>
      </c>
      <c r="C217">
        <v>16</v>
      </c>
      <c r="D217" s="128">
        <v>0.57156255823420998</v>
      </c>
      <c r="E217" s="11"/>
      <c r="F217" s="3" t="s">
        <v>385</v>
      </c>
      <c r="G217" s="3">
        <v>3.07018E-3</v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3" t="s">
        <v>3150</v>
      </c>
      <c r="AQ217" s="213" t="s">
        <v>2947</v>
      </c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</row>
    <row r="218" spans="1:70" ht="15" x14ac:dyDescent="0.25">
      <c r="A218">
        <v>13</v>
      </c>
      <c r="B218" t="s">
        <v>2665</v>
      </c>
      <c r="C218">
        <v>17</v>
      </c>
      <c r="D218" s="128">
        <v>0.61192917874806996</v>
      </c>
      <c r="E218" s="11"/>
      <c r="F218" s="3" t="s">
        <v>386</v>
      </c>
      <c r="G218" s="3">
        <v>4.4445400000000003E-3</v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3" t="s">
        <v>3151</v>
      </c>
      <c r="AQ218" s="213" t="s">
        <v>2947</v>
      </c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</row>
    <row r="219" spans="1:70" ht="15" x14ac:dyDescent="0.25">
      <c r="A219">
        <v>13</v>
      </c>
      <c r="B219" t="s">
        <v>2665</v>
      </c>
      <c r="C219">
        <v>18</v>
      </c>
      <c r="D219" s="128">
        <v>0.65229556300028002</v>
      </c>
      <c r="E219" s="11"/>
      <c r="F219" s="3" t="s">
        <v>387</v>
      </c>
      <c r="G219" s="3">
        <v>7.5560000000000002E-3</v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3" t="s">
        <v>3152</v>
      </c>
      <c r="AQ219" s="213" t="s">
        <v>2931</v>
      </c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</row>
    <row r="220" spans="1:70" ht="15" x14ac:dyDescent="0.25">
      <c r="A220">
        <v>13</v>
      </c>
      <c r="B220" t="s">
        <v>2665</v>
      </c>
      <c r="C220">
        <v>19</v>
      </c>
      <c r="D220" s="128">
        <v>0.69266209252499</v>
      </c>
      <c r="E220" s="11"/>
      <c r="F220" s="3" t="s">
        <v>388</v>
      </c>
      <c r="G220" s="3">
        <v>1.3210009999999999E-2</v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3" t="s">
        <v>3153</v>
      </c>
      <c r="AQ220" s="213" t="s">
        <v>2937</v>
      </c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</row>
    <row r="221" spans="1:70" ht="15" x14ac:dyDescent="0.25">
      <c r="A221">
        <v>13</v>
      </c>
      <c r="B221" t="s">
        <v>2665</v>
      </c>
      <c r="C221">
        <v>20</v>
      </c>
      <c r="D221" s="128">
        <v>0.73302857382194997</v>
      </c>
      <c r="E221" s="11"/>
      <c r="F221" s="3" t="s">
        <v>389</v>
      </c>
      <c r="G221" s="3">
        <v>2.3749880000000001E-2</v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3" t="s">
        <v>3154</v>
      </c>
      <c r="AQ221" s="213" t="s">
        <v>2935</v>
      </c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</row>
    <row r="222" spans="1:70" ht="15" x14ac:dyDescent="0.25">
      <c r="A222">
        <v>13</v>
      </c>
      <c r="B222" t="s">
        <v>2665</v>
      </c>
      <c r="C222">
        <v>21</v>
      </c>
      <c r="D222" s="128">
        <v>0.77339501362041996</v>
      </c>
      <c r="E222" s="11"/>
      <c r="F222" s="3" t="s">
        <v>390</v>
      </c>
      <c r="G222" s="3">
        <v>4.3910339999999999E-2</v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3" t="s">
        <v>3155</v>
      </c>
      <c r="AQ222" s="213" t="s">
        <v>2935</v>
      </c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</row>
    <row r="223" spans="1:70" ht="15" x14ac:dyDescent="0.25">
      <c r="A223">
        <v>13</v>
      </c>
      <c r="B223" t="s">
        <v>2665</v>
      </c>
      <c r="C223">
        <v>22</v>
      </c>
      <c r="D223" s="128">
        <v>0.81376135817690998</v>
      </c>
      <c r="E223" s="11"/>
      <c r="F223" s="3" t="s">
        <v>391</v>
      </c>
      <c r="G223" s="3">
        <v>8.3487039999999998E-2</v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3" t="s">
        <v>3156</v>
      </c>
      <c r="AQ223" s="213" t="s">
        <v>2933</v>
      </c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</row>
    <row r="224" spans="1:70" ht="15" x14ac:dyDescent="0.25">
      <c r="A224">
        <v>13</v>
      </c>
      <c r="B224" t="s">
        <v>2665</v>
      </c>
      <c r="C224">
        <v>23</v>
      </c>
      <c r="D224" s="128">
        <v>0.85412791662172005</v>
      </c>
      <c r="E224" s="11"/>
      <c r="F224" s="3" t="s">
        <v>392</v>
      </c>
      <c r="G224" s="3">
        <v>0.16323687000000001</v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3" t="s">
        <v>3157</v>
      </c>
      <c r="AQ224" s="213" t="s">
        <v>2935</v>
      </c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</row>
    <row r="225" spans="1:70" ht="15" x14ac:dyDescent="0.25">
      <c r="A225">
        <v>13</v>
      </c>
      <c r="B225" t="s">
        <v>2665</v>
      </c>
      <c r="C225">
        <v>24</v>
      </c>
      <c r="D225" s="128">
        <v>0.89449419599127999</v>
      </c>
      <c r="E225" s="11"/>
      <c r="F225" s="3" t="s">
        <v>393</v>
      </c>
      <c r="G225" s="3">
        <v>0.25</v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3" t="s">
        <v>3158</v>
      </c>
      <c r="AQ225" s="213" t="s">
        <v>2935</v>
      </c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</row>
    <row r="226" spans="1:70" ht="15" x14ac:dyDescent="0.25">
      <c r="A226">
        <v>13</v>
      </c>
      <c r="B226" t="s">
        <v>2665</v>
      </c>
      <c r="C226">
        <v>25</v>
      </c>
      <c r="D226" s="128">
        <v>0.93486052886907001</v>
      </c>
      <c r="E226" s="11"/>
      <c r="F226" s="3" t="s">
        <v>394</v>
      </c>
      <c r="G226" s="3">
        <v>0.35</v>
      </c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3" t="s">
        <v>3159</v>
      </c>
      <c r="AQ226" s="213" t="s">
        <v>2935</v>
      </c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</row>
    <row r="227" spans="1:70" ht="15" x14ac:dyDescent="0.25">
      <c r="A227">
        <v>13</v>
      </c>
      <c r="B227" t="s">
        <v>2665</v>
      </c>
      <c r="C227">
        <v>26</v>
      </c>
      <c r="D227" s="128">
        <v>0.97522711370960002</v>
      </c>
      <c r="E227" s="11"/>
      <c r="F227" s="3" t="s">
        <v>395</v>
      </c>
      <c r="G227" s="3">
        <v>1</v>
      </c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3" t="s">
        <v>3160</v>
      </c>
      <c r="AQ227" s="213" t="s">
        <v>2935</v>
      </c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</row>
    <row r="228" spans="1:70" ht="15" x14ac:dyDescent="0.25">
      <c r="A228">
        <v>13</v>
      </c>
      <c r="B228" t="s">
        <v>2665</v>
      </c>
      <c r="C228">
        <v>27</v>
      </c>
      <c r="D228" s="128">
        <v>1.01559339130521</v>
      </c>
      <c r="E228" s="11"/>
      <c r="F228" s="3" t="s">
        <v>396</v>
      </c>
      <c r="G228" s="3">
        <v>1</v>
      </c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3" t="s">
        <v>3161</v>
      </c>
      <c r="AQ228" s="213" t="s">
        <v>2933</v>
      </c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</row>
    <row r="229" spans="1:70" ht="15" x14ac:dyDescent="0.25">
      <c r="A229">
        <v>13</v>
      </c>
      <c r="B229" t="s">
        <v>2665</v>
      </c>
      <c r="C229">
        <v>28</v>
      </c>
      <c r="D229" s="128">
        <v>1.05595982740745</v>
      </c>
      <c r="E229" s="11"/>
      <c r="F229" s="3" t="s">
        <v>397</v>
      </c>
      <c r="G229" s="3">
        <v>1</v>
      </c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3" t="s">
        <v>3162</v>
      </c>
      <c r="AQ229" s="213" t="s">
        <v>2933</v>
      </c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</row>
    <row r="230" spans="1:70" ht="15" x14ac:dyDescent="0.25">
      <c r="A230">
        <v>13</v>
      </c>
      <c r="B230" t="s">
        <v>2665</v>
      </c>
      <c r="C230">
        <v>29</v>
      </c>
      <c r="D230" s="128">
        <v>1.0963261686543999</v>
      </c>
      <c r="E230" s="11"/>
      <c r="F230" s="3" t="s">
        <v>398</v>
      </c>
      <c r="G230" s="3">
        <v>1.03E-4</v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3" t="s">
        <v>3163</v>
      </c>
      <c r="AQ230" s="213" t="s">
        <v>2933</v>
      </c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</row>
    <row r="231" spans="1:70" ht="15" x14ac:dyDescent="0.25">
      <c r="A231">
        <v>13</v>
      </c>
      <c r="B231" t="s">
        <v>2665</v>
      </c>
      <c r="C231">
        <v>30</v>
      </c>
      <c r="D231" s="128">
        <v>1.1366925121850999</v>
      </c>
      <c r="E231" s="11"/>
      <c r="F231" s="3" t="s">
        <v>399</v>
      </c>
      <c r="G231" s="3">
        <v>2.0599999999999999E-4</v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3" t="s">
        <v>3164</v>
      </c>
      <c r="AQ231" s="213" t="s">
        <v>2933</v>
      </c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</row>
    <row r="232" spans="1:70" ht="15" x14ac:dyDescent="0.25">
      <c r="A232">
        <v>13</v>
      </c>
      <c r="B232" t="s">
        <v>2665</v>
      </c>
      <c r="C232">
        <v>31</v>
      </c>
      <c r="D232" s="128">
        <v>1.1770588462474301</v>
      </c>
      <c r="E232" s="11"/>
      <c r="F232" s="3" t="s">
        <v>400</v>
      </c>
      <c r="G232" s="3">
        <v>3.0899999999999998E-4</v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3" t="s">
        <v>3165</v>
      </c>
      <c r="AQ232" s="213" t="s">
        <v>2935</v>
      </c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</row>
    <row r="233" spans="1:70" ht="15" x14ac:dyDescent="0.25">
      <c r="A233">
        <v>13</v>
      </c>
      <c r="B233" t="s">
        <v>2665</v>
      </c>
      <c r="C233">
        <v>32</v>
      </c>
      <c r="D233" s="128">
        <v>1.2174252434238699</v>
      </c>
      <c r="E233" s="11"/>
      <c r="F233" s="3" t="s">
        <v>401</v>
      </c>
      <c r="G233" s="3">
        <v>4.1199999999999999E-4</v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3" t="s">
        <v>3166</v>
      </c>
      <c r="AQ233" s="213" t="s">
        <v>2933</v>
      </c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</row>
    <row r="234" spans="1:70" ht="15" x14ac:dyDescent="0.25">
      <c r="A234">
        <v>13</v>
      </c>
      <c r="B234" t="s">
        <v>2665</v>
      </c>
      <c r="C234">
        <v>33</v>
      </c>
      <c r="D234" s="128">
        <v>1.2577915032551199</v>
      </c>
      <c r="E234" s="11"/>
      <c r="F234" s="3" t="s">
        <v>402</v>
      </c>
      <c r="G234" s="3">
        <v>6.2074999999999999E-4</v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3" t="s">
        <v>3167</v>
      </c>
      <c r="AQ234" s="213" t="s">
        <v>2933</v>
      </c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</row>
    <row r="235" spans="1:70" ht="15" x14ac:dyDescent="0.25">
      <c r="A235">
        <v>13</v>
      </c>
      <c r="B235" t="s">
        <v>2665</v>
      </c>
      <c r="C235">
        <v>34</v>
      </c>
      <c r="D235" s="128">
        <v>1.2981578352301699</v>
      </c>
      <c r="E235" s="11"/>
      <c r="F235" s="3" t="s">
        <v>403</v>
      </c>
      <c r="G235" s="3">
        <v>9.1759000000000003E-4</v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3" t="s">
        <v>3168</v>
      </c>
      <c r="AQ235" s="213" t="s">
        <v>2935</v>
      </c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</row>
    <row r="236" spans="1:70" ht="15" x14ac:dyDescent="0.25">
      <c r="A236">
        <v>13</v>
      </c>
      <c r="B236" t="s">
        <v>2665</v>
      </c>
      <c r="C236">
        <v>35</v>
      </c>
      <c r="D236" s="128">
        <v>1.3385242975813101</v>
      </c>
      <c r="E236" s="11"/>
      <c r="F236" s="3" t="s">
        <v>404</v>
      </c>
      <c r="G236" s="3">
        <v>1.3948400000000001E-3</v>
      </c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3" t="s">
        <v>3169</v>
      </c>
      <c r="AQ236" s="213" t="s">
        <v>2935</v>
      </c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</row>
    <row r="237" spans="1:70" ht="15" x14ac:dyDescent="0.25">
      <c r="A237">
        <v>13</v>
      </c>
      <c r="B237" t="s">
        <v>2665</v>
      </c>
      <c r="C237">
        <v>36</v>
      </c>
      <c r="D237" s="128">
        <v>1.3788905419542199</v>
      </c>
      <c r="E237" s="11"/>
      <c r="F237" s="3" t="s">
        <v>405</v>
      </c>
      <c r="G237" s="3">
        <v>3.07018E-3</v>
      </c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3" t="s">
        <v>3170</v>
      </c>
      <c r="AQ237" s="213" t="s">
        <v>2933</v>
      </c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</row>
    <row r="238" spans="1:70" ht="15" x14ac:dyDescent="0.25">
      <c r="A238">
        <v>13</v>
      </c>
      <c r="B238" t="s">
        <v>2665</v>
      </c>
      <c r="C238">
        <v>37</v>
      </c>
      <c r="D238" s="128">
        <v>1.4192570679654</v>
      </c>
      <c r="E238" s="11"/>
      <c r="F238" s="3" t="s">
        <v>406</v>
      </c>
      <c r="G238" s="3">
        <v>7.5560000000000002E-3</v>
      </c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3" t="s">
        <v>3171</v>
      </c>
      <c r="AQ238" s="213" t="s">
        <v>2947</v>
      </c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</row>
    <row r="239" spans="1:70" ht="15" x14ac:dyDescent="0.25">
      <c r="A239">
        <v>13</v>
      </c>
      <c r="B239" t="s">
        <v>2665</v>
      </c>
      <c r="C239">
        <v>38</v>
      </c>
      <c r="D239" s="128">
        <v>1.4596232337354</v>
      </c>
      <c r="E239" s="11"/>
      <c r="F239" s="3" t="s">
        <v>407</v>
      </c>
      <c r="G239" s="3">
        <v>2.3749880000000001E-2</v>
      </c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3" t="s">
        <v>3172</v>
      </c>
      <c r="AQ239" s="213" t="s">
        <v>2947</v>
      </c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</row>
    <row r="240" spans="1:70" ht="15" x14ac:dyDescent="0.25">
      <c r="A240">
        <v>13</v>
      </c>
      <c r="B240" t="s">
        <v>2665</v>
      </c>
      <c r="C240">
        <v>39</v>
      </c>
      <c r="D240" s="128">
        <v>1.49998973483752</v>
      </c>
      <c r="E240" s="11"/>
      <c r="F240" s="3" t="s">
        <v>408</v>
      </c>
      <c r="G240" s="3">
        <v>4.3910339999999999E-2</v>
      </c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3" t="s">
        <v>3173</v>
      </c>
      <c r="AQ240" s="213" t="s">
        <v>2947</v>
      </c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</row>
    <row r="241" spans="1:70" ht="15" x14ac:dyDescent="0.25">
      <c r="A241">
        <v>13</v>
      </c>
      <c r="B241" t="s">
        <v>2665</v>
      </c>
      <c r="C241">
        <v>40</v>
      </c>
      <c r="D241" s="128">
        <v>1.54035620663453</v>
      </c>
      <c r="E241" s="11"/>
      <c r="F241" s="3" t="s">
        <v>409</v>
      </c>
      <c r="G241" s="3">
        <v>0.16323687000000001</v>
      </c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3" t="s">
        <v>3174</v>
      </c>
      <c r="AQ241" s="213" t="s">
        <v>2933</v>
      </c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</row>
    <row r="242" spans="1:70" ht="15" x14ac:dyDescent="0.25">
      <c r="A242">
        <v>13</v>
      </c>
      <c r="B242" t="s">
        <v>2665</v>
      </c>
      <c r="C242">
        <v>41</v>
      </c>
      <c r="D242" s="128">
        <v>1.5808204035342399</v>
      </c>
      <c r="E242" s="11"/>
      <c r="F242" s="3" t="s">
        <v>410</v>
      </c>
      <c r="G242" s="3">
        <v>0.25</v>
      </c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3" t="s">
        <v>3175</v>
      </c>
      <c r="AQ242" s="213" t="s">
        <v>2935</v>
      </c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</row>
    <row r="243" spans="1:70" ht="15" x14ac:dyDescent="0.25">
      <c r="A243">
        <v>13</v>
      </c>
      <c r="B243" t="s">
        <v>2665</v>
      </c>
      <c r="C243">
        <v>42</v>
      </c>
      <c r="D243" s="128">
        <v>1.62138250923145</v>
      </c>
      <c r="E243" s="11"/>
      <c r="F243" s="3" t="s">
        <v>411</v>
      </c>
      <c r="G243" s="3">
        <v>0.35</v>
      </c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3" t="s">
        <v>3176</v>
      </c>
      <c r="AQ243" s="213" t="s">
        <v>2933</v>
      </c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</row>
    <row r="244" spans="1:70" ht="15" x14ac:dyDescent="0.25">
      <c r="A244">
        <v>13</v>
      </c>
      <c r="B244" t="s">
        <v>2665</v>
      </c>
      <c r="C244">
        <v>43</v>
      </c>
      <c r="D244" s="128">
        <v>1.66204270774081</v>
      </c>
      <c r="E244" s="11"/>
      <c r="F244" s="3" t="s">
        <v>412</v>
      </c>
      <c r="G244" s="3">
        <v>1</v>
      </c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3" t="s">
        <v>3177</v>
      </c>
      <c r="AQ244" s="213" t="s">
        <v>2935</v>
      </c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</row>
    <row r="245" spans="1:70" ht="15" x14ac:dyDescent="0.25">
      <c r="A245">
        <v>13</v>
      </c>
      <c r="B245" t="s">
        <v>2665</v>
      </c>
      <c r="C245">
        <v>44</v>
      </c>
      <c r="D245" s="128">
        <v>1.7028011833974099</v>
      </c>
      <c r="E245" s="11"/>
      <c r="F245" s="3" t="s">
        <v>413</v>
      </c>
      <c r="G245" s="3">
        <v>1</v>
      </c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3" t="s">
        <v>3178</v>
      </c>
      <c r="AQ245" s="213" t="s">
        <v>2935</v>
      </c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</row>
    <row r="246" spans="1:70" ht="15" x14ac:dyDescent="0.25">
      <c r="A246">
        <v>13</v>
      </c>
      <c r="B246" t="s">
        <v>2665</v>
      </c>
      <c r="C246">
        <v>45</v>
      </c>
      <c r="D246" s="128">
        <v>1.7436581208573201</v>
      </c>
      <c r="E246" s="11"/>
      <c r="F246" s="3" t="s">
        <v>414</v>
      </c>
      <c r="G246" s="3">
        <v>1</v>
      </c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3" t="s">
        <v>3179</v>
      </c>
      <c r="AQ246" s="213" t="s">
        <v>2947</v>
      </c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</row>
    <row r="247" spans="1:70" ht="15" x14ac:dyDescent="0.25">
      <c r="A247">
        <v>13</v>
      </c>
      <c r="B247" t="s">
        <v>2665</v>
      </c>
      <c r="C247">
        <v>46</v>
      </c>
      <c r="D247" s="128">
        <v>1.7846137050981801</v>
      </c>
      <c r="E247" s="11"/>
      <c r="F247" s="3" t="s">
        <v>415</v>
      </c>
      <c r="G247" s="3">
        <v>0.16323687000000001</v>
      </c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3" t="s">
        <v>3180</v>
      </c>
      <c r="AQ247" s="213" t="s">
        <v>2947</v>
      </c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</row>
    <row r="248" spans="1:70" ht="15" x14ac:dyDescent="0.25">
      <c r="A248">
        <v>13</v>
      </c>
      <c r="B248" t="s">
        <v>2665</v>
      </c>
      <c r="C248">
        <v>47</v>
      </c>
      <c r="D248" s="128">
        <v>1.8256681214197501</v>
      </c>
      <c r="E248" s="11"/>
      <c r="F248" s="3" t="s">
        <v>416</v>
      </c>
      <c r="G248" s="3">
        <v>1.03E-4</v>
      </c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3" t="s">
        <v>3181</v>
      </c>
      <c r="AQ248" s="213" t="s">
        <v>2937</v>
      </c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</row>
    <row r="249" spans="1:70" ht="15" x14ac:dyDescent="0.25">
      <c r="A249">
        <v>13</v>
      </c>
      <c r="B249" t="s">
        <v>2665</v>
      </c>
      <c r="C249">
        <v>48</v>
      </c>
      <c r="D249" s="128">
        <v>1.86682155544446</v>
      </c>
      <c r="E249" s="11"/>
      <c r="F249" s="3" t="s">
        <v>417</v>
      </c>
      <c r="G249" s="3">
        <v>2.0599999999999999E-4</v>
      </c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3" t="s">
        <v>3182</v>
      </c>
      <c r="AQ249" s="213" t="s">
        <v>2935</v>
      </c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</row>
    <row r="250" spans="1:70" ht="15" x14ac:dyDescent="0.25">
      <c r="A250">
        <v>13</v>
      </c>
      <c r="B250" t="s">
        <v>2665</v>
      </c>
      <c r="C250">
        <v>49</v>
      </c>
      <c r="D250" s="128">
        <v>1.9080741931179901</v>
      </c>
      <c r="E250" s="11"/>
      <c r="F250" s="3" t="s">
        <v>418</v>
      </c>
      <c r="G250" s="3">
        <v>3.0899999999999998E-4</v>
      </c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3" t="s">
        <v>3183</v>
      </c>
      <c r="AQ250" s="213" t="s">
        <v>2935</v>
      </c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</row>
    <row r="251" spans="1:70" ht="15" x14ac:dyDescent="0.25">
      <c r="A251">
        <v>13</v>
      </c>
      <c r="B251" t="s">
        <v>2665</v>
      </c>
      <c r="C251">
        <v>50</v>
      </c>
      <c r="D251" s="128">
        <v>1.9494262207098401</v>
      </c>
      <c r="E251" s="11"/>
      <c r="F251" s="3" t="s">
        <v>419</v>
      </c>
      <c r="G251" s="3">
        <v>4.1199999999999999E-4</v>
      </c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3" t="s">
        <v>3184</v>
      </c>
      <c r="AQ251" s="213" t="s">
        <v>2935</v>
      </c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</row>
    <row r="252" spans="1:70" ht="15" x14ac:dyDescent="0.25">
      <c r="A252">
        <v>14</v>
      </c>
      <c r="B252" t="s">
        <v>2666</v>
      </c>
      <c r="C252">
        <v>1</v>
      </c>
      <c r="D252" s="128">
        <v>3.0524261147039999E-2</v>
      </c>
      <c r="E252" s="11"/>
      <c r="F252" s="3" t="s">
        <v>420</v>
      </c>
      <c r="G252" s="3">
        <v>5.1500000000000005E-4</v>
      </c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3" t="s">
        <v>3185</v>
      </c>
      <c r="AQ252" s="213" t="s">
        <v>2931</v>
      </c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</row>
    <row r="253" spans="1:70" ht="15" x14ac:dyDescent="0.25">
      <c r="A253">
        <v>14</v>
      </c>
      <c r="B253" t="s">
        <v>2666</v>
      </c>
      <c r="C253">
        <v>2</v>
      </c>
      <c r="D253" s="128">
        <v>6.8145545166659993E-2</v>
      </c>
      <c r="E253" s="11"/>
      <c r="F253" s="3" t="s">
        <v>421</v>
      </c>
      <c r="G253" s="3">
        <v>6.2074999999999999E-4</v>
      </c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</row>
    <row r="254" spans="1:70" ht="15" x14ac:dyDescent="0.25">
      <c r="A254">
        <v>14</v>
      </c>
      <c r="B254" t="s">
        <v>2666</v>
      </c>
      <c r="C254">
        <v>3</v>
      </c>
      <c r="D254" s="128">
        <v>0.10744745558691</v>
      </c>
      <c r="E254" s="11"/>
      <c r="F254" s="3" t="s">
        <v>422</v>
      </c>
      <c r="G254" s="3">
        <v>9.1759000000000003E-4</v>
      </c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</row>
    <row r="255" spans="1:70" ht="15" x14ac:dyDescent="0.25">
      <c r="A255">
        <v>14</v>
      </c>
      <c r="B255" t="s">
        <v>2666</v>
      </c>
      <c r="C255">
        <v>4</v>
      </c>
      <c r="D255" s="128">
        <v>0.14710266221018001</v>
      </c>
      <c r="E255" s="11"/>
      <c r="F255" s="3" t="s">
        <v>423</v>
      </c>
      <c r="G255" s="3">
        <v>1.3948400000000001E-3</v>
      </c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</row>
    <row r="256" spans="1:70" ht="15" x14ac:dyDescent="0.25">
      <c r="A256">
        <v>14</v>
      </c>
      <c r="B256" t="s">
        <v>2666</v>
      </c>
      <c r="C256">
        <v>5</v>
      </c>
      <c r="D256" s="128">
        <v>0.21685853371551</v>
      </c>
      <c r="E256" s="11"/>
      <c r="F256" s="3" t="s">
        <v>424</v>
      </c>
      <c r="G256" s="3">
        <v>2.1246300000000002E-3</v>
      </c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</row>
    <row r="257" spans="1:70" ht="15" x14ac:dyDescent="0.25">
      <c r="A257">
        <v>14</v>
      </c>
      <c r="B257" t="s">
        <v>2666</v>
      </c>
      <c r="C257">
        <v>6</v>
      </c>
      <c r="D257" s="128">
        <v>0.28661484769696999</v>
      </c>
      <c r="E257" s="11"/>
      <c r="F257" s="3" t="s">
        <v>425</v>
      </c>
      <c r="G257" s="3">
        <v>3.07018E-3</v>
      </c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</row>
    <row r="258" spans="1:70" ht="15" x14ac:dyDescent="0.25">
      <c r="A258">
        <v>14</v>
      </c>
      <c r="B258" t="s">
        <v>2666</v>
      </c>
      <c r="C258">
        <v>7</v>
      </c>
      <c r="D258" s="128">
        <v>0.35637139158238001</v>
      </c>
      <c r="E258" s="11"/>
      <c r="F258" s="3" t="s">
        <v>426</v>
      </c>
      <c r="G258" s="3">
        <v>4.4445400000000003E-3</v>
      </c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</row>
    <row r="259" spans="1:70" ht="15" x14ac:dyDescent="0.25">
      <c r="A259">
        <v>14</v>
      </c>
      <c r="B259" t="s">
        <v>2666</v>
      </c>
      <c r="C259">
        <v>8</v>
      </c>
      <c r="D259" s="128">
        <v>0.42612820386627998</v>
      </c>
      <c r="E259" s="11"/>
      <c r="F259" s="3" t="s">
        <v>427</v>
      </c>
      <c r="G259" s="3">
        <v>7.5560000000000002E-3</v>
      </c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</row>
    <row r="260" spans="1:70" ht="15" x14ac:dyDescent="0.25">
      <c r="A260">
        <v>14</v>
      </c>
      <c r="B260" t="s">
        <v>2666</v>
      </c>
      <c r="C260">
        <v>9</v>
      </c>
      <c r="D260" s="128">
        <v>0.49588502696735998</v>
      </c>
      <c r="E260" s="11"/>
      <c r="F260" s="3" t="s">
        <v>428</v>
      </c>
      <c r="G260" s="3">
        <v>1.3210009999999999E-2</v>
      </c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</row>
    <row r="261" spans="1:70" ht="15" x14ac:dyDescent="0.25">
      <c r="A261">
        <v>14</v>
      </c>
      <c r="B261" t="s">
        <v>2666</v>
      </c>
      <c r="C261">
        <v>10</v>
      </c>
      <c r="D261" s="128">
        <v>0.56564192663134005</v>
      </c>
      <c r="E261" s="11"/>
      <c r="F261" s="3" t="s">
        <v>429</v>
      </c>
      <c r="G261" s="3">
        <v>2.3749880000000001E-2</v>
      </c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</row>
    <row r="262" spans="1:70" ht="15" x14ac:dyDescent="0.25">
      <c r="A262">
        <v>14</v>
      </c>
      <c r="B262" t="s">
        <v>2666</v>
      </c>
      <c r="C262">
        <v>11</v>
      </c>
      <c r="D262" s="128">
        <v>0.63539889638950997</v>
      </c>
      <c r="E262" s="11"/>
      <c r="F262" s="3" t="s">
        <v>430</v>
      </c>
      <c r="G262" s="3">
        <v>4.3910339999999999E-2</v>
      </c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</row>
    <row r="263" spans="1:70" ht="15" x14ac:dyDescent="0.25">
      <c r="A263">
        <v>14</v>
      </c>
      <c r="B263" t="s">
        <v>2666</v>
      </c>
      <c r="C263">
        <v>12</v>
      </c>
      <c r="D263" s="128">
        <v>0.70515598255252998</v>
      </c>
      <c r="E263" s="11"/>
      <c r="F263" s="3" t="s">
        <v>431</v>
      </c>
      <c r="G263" s="3">
        <v>8.3487039999999998E-2</v>
      </c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</row>
    <row r="264" spans="1:70" ht="15" x14ac:dyDescent="0.25">
      <c r="A264">
        <v>14</v>
      </c>
      <c r="B264" t="s">
        <v>2666</v>
      </c>
      <c r="C264">
        <v>13</v>
      </c>
      <c r="D264" s="128">
        <v>0.77491299017393001</v>
      </c>
      <c r="E264" s="11"/>
      <c r="F264" s="3" t="s">
        <v>432</v>
      </c>
      <c r="G264" s="3">
        <v>0.16323687000000001</v>
      </c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</row>
    <row r="265" spans="1:70" ht="15" x14ac:dyDescent="0.25">
      <c r="A265">
        <v>14</v>
      </c>
      <c r="B265" t="s">
        <v>2666</v>
      </c>
      <c r="C265">
        <v>14</v>
      </c>
      <c r="D265" s="128">
        <v>0.84467011095997002</v>
      </c>
      <c r="E265" s="11"/>
      <c r="F265" s="3" t="s">
        <v>433</v>
      </c>
      <c r="G265" s="3">
        <v>0.25</v>
      </c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</row>
    <row r="266" spans="1:70" ht="15" x14ac:dyDescent="0.25">
      <c r="A266">
        <v>14</v>
      </c>
      <c r="B266" t="s">
        <v>2666</v>
      </c>
      <c r="C266">
        <v>15</v>
      </c>
      <c r="D266" s="128">
        <v>0.91442715150038001</v>
      </c>
      <c r="E266" s="11"/>
      <c r="F266" s="3" t="s">
        <v>434</v>
      </c>
      <c r="G266" s="3">
        <v>0.35</v>
      </c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</row>
    <row r="267" spans="1:70" ht="15" x14ac:dyDescent="0.25">
      <c r="A267">
        <v>14</v>
      </c>
      <c r="B267" t="s">
        <v>2666</v>
      </c>
      <c r="C267">
        <v>16</v>
      </c>
      <c r="D267" s="128">
        <v>0.98418423408863998</v>
      </c>
      <c r="E267" s="11"/>
      <c r="F267" s="3" t="s">
        <v>435</v>
      </c>
      <c r="G267" s="3">
        <v>1</v>
      </c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P267" s="11"/>
      <c r="BQ267" s="11"/>
      <c r="BR267" s="11"/>
    </row>
    <row r="268" spans="1:70" ht="15" x14ac:dyDescent="0.25">
      <c r="A268">
        <v>14</v>
      </c>
      <c r="B268" t="s">
        <v>2666</v>
      </c>
      <c r="C268">
        <v>17</v>
      </c>
      <c r="D268" s="128">
        <v>1.05394140172388</v>
      </c>
      <c r="E268" s="11"/>
      <c r="F268" s="3" t="s">
        <v>436</v>
      </c>
      <c r="G268" s="3">
        <v>1</v>
      </c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P268" s="11"/>
      <c r="BQ268" s="11"/>
      <c r="BR268" s="11"/>
    </row>
    <row r="269" spans="1:70" ht="15" x14ac:dyDescent="0.25">
      <c r="A269">
        <v>14</v>
      </c>
      <c r="B269" t="s">
        <v>2666</v>
      </c>
      <c r="C269">
        <v>18</v>
      </c>
      <c r="D269" s="128">
        <v>1.1236985816595599</v>
      </c>
      <c r="E269" s="11"/>
      <c r="F269" s="3" t="s">
        <v>437</v>
      </c>
      <c r="G269" s="3">
        <v>1</v>
      </c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P269" s="11"/>
      <c r="BQ269" s="11"/>
      <c r="BR269" s="11"/>
    </row>
    <row r="270" spans="1:70" ht="15" x14ac:dyDescent="0.25">
      <c r="A270">
        <v>14</v>
      </c>
      <c r="B270" t="s">
        <v>2666</v>
      </c>
      <c r="C270">
        <v>19</v>
      </c>
      <c r="D270" s="128">
        <v>1.1934557127704499</v>
      </c>
      <c r="E270" s="11"/>
      <c r="F270" s="3" t="s">
        <v>438</v>
      </c>
      <c r="G270" s="3">
        <v>1.03E-4</v>
      </c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P270" s="11"/>
      <c r="BQ270" s="11"/>
      <c r="BR270" s="11"/>
    </row>
    <row r="271" spans="1:70" ht="15" x14ac:dyDescent="0.25">
      <c r="A271">
        <v>14</v>
      </c>
      <c r="B271" t="s">
        <v>2666</v>
      </c>
      <c r="C271">
        <v>20</v>
      </c>
      <c r="D271" s="128">
        <v>1.2632127612803099</v>
      </c>
      <c r="E271" s="11"/>
      <c r="F271" s="3" t="s">
        <v>439</v>
      </c>
      <c r="G271" s="3">
        <v>2.0599999999999999E-4</v>
      </c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P271" s="11"/>
      <c r="BQ271" s="11"/>
      <c r="BR271" s="11"/>
    </row>
    <row r="272" spans="1:70" ht="15" x14ac:dyDescent="0.25">
      <c r="A272">
        <v>14</v>
      </c>
      <c r="B272" t="s">
        <v>2666</v>
      </c>
      <c r="C272">
        <v>21</v>
      </c>
      <c r="D272" s="128">
        <v>1.3329700679237799</v>
      </c>
      <c r="E272" s="11"/>
      <c r="F272" s="3" t="s">
        <v>440</v>
      </c>
      <c r="G272" s="3">
        <v>3.0899999999999998E-4</v>
      </c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</row>
    <row r="273" spans="1:70" ht="15" x14ac:dyDescent="0.25">
      <c r="A273">
        <v>14</v>
      </c>
      <c r="B273" t="s">
        <v>2666</v>
      </c>
      <c r="C273">
        <v>22</v>
      </c>
      <c r="D273" s="128">
        <v>1.4027272705846601</v>
      </c>
      <c r="E273" s="11"/>
      <c r="F273" s="3" t="s">
        <v>441</v>
      </c>
      <c r="G273" s="3">
        <v>5.1500000000000005E-4</v>
      </c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</row>
    <row r="274" spans="1:70" ht="15" x14ac:dyDescent="0.25">
      <c r="A274">
        <v>14</v>
      </c>
      <c r="B274" t="s">
        <v>2666</v>
      </c>
      <c r="C274">
        <v>23</v>
      </c>
      <c r="D274" s="128">
        <v>1.4724844436456499</v>
      </c>
      <c r="E274" s="11"/>
      <c r="F274" s="3" t="s">
        <v>442</v>
      </c>
      <c r="G274" s="3">
        <v>2.1246300000000002E-3</v>
      </c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</row>
    <row r="275" spans="1:70" ht="15" x14ac:dyDescent="0.25">
      <c r="A275">
        <v>14</v>
      </c>
      <c r="B275" t="s">
        <v>2666</v>
      </c>
      <c r="C275">
        <v>24</v>
      </c>
      <c r="D275" s="128">
        <v>1.54224157436798</v>
      </c>
      <c r="E275" s="11"/>
      <c r="F275" s="3" t="s">
        <v>443</v>
      </c>
      <c r="G275" s="3">
        <v>4.4445400000000003E-3</v>
      </c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</row>
    <row r="276" spans="1:70" ht="15" x14ac:dyDescent="0.25">
      <c r="A276">
        <v>14</v>
      </c>
      <c r="B276" t="s">
        <v>2666</v>
      </c>
      <c r="C276">
        <v>25</v>
      </c>
      <c r="D276" s="128">
        <v>1.6119986080233499</v>
      </c>
      <c r="E276" s="11"/>
      <c r="F276" s="3" t="s">
        <v>444</v>
      </c>
      <c r="G276" s="3">
        <v>1.3210009999999999E-2</v>
      </c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P276" s="11"/>
      <c r="BQ276" s="11"/>
      <c r="BR276" s="11"/>
    </row>
    <row r="277" spans="1:70" ht="15" x14ac:dyDescent="0.25">
      <c r="A277">
        <v>14</v>
      </c>
      <c r="B277" t="s">
        <v>2666</v>
      </c>
      <c r="C277">
        <v>26</v>
      </c>
      <c r="D277" s="128">
        <v>1.6817559872093</v>
      </c>
      <c r="E277" s="11"/>
      <c r="F277" s="3" t="s">
        <v>445</v>
      </c>
      <c r="G277" s="3">
        <v>2.3749880000000001E-2</v>
      </c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</row>
    <row r="278" spans="1:70" ht="15" x14ac:dyDescent="0.25">
      <c r="A278">
        <v>14</v>
      </c>
      <c r="B278" t="s">
        <v>2666</v>
      </c>
      <c r="C278">
        <v>27</v>
      </c>
      <c r="D278" s="128">
        <v>1.75151300999952</v>
      </c>
      <c r="E278" s="11"/>
      <c r="F278" s="3" t="s">
        <v>446</v>
      </c>
      <c r="G278" s="3">
        <v>4.3910339999999999E-2</v>
      </c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</row>
    <row r="279" spans="1:70" ht="15" x14ac:dyDescent="0.25">
      <c r="A279">
        <v>14</v>
      </c>
      <c r="B279" t="s">
        <v>2666</v>
      </c>
      <c r="C279">
        <v>28</v>
      </c>
      <c r="D279" s="128">
        <v>1.8212704474425301</v>
      </c>
      <c r="E279" s="11"/>
      <c r="F279" s="3" t="s">
        <v>447</v>
      </c>
      <c r="G279" s="3">
        <v>8.3487039999999998E-2</v>
      </c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  <c r="BO279" s="11"/>
      <c r="BP279" s="11"/>
      <c r="BQ279" s="11"/>
      <c r="BR279" s="11"/>
    </row>
    <row r="280" spans="1:70" ht="15" x14ac:dyDescent="0.25">
      <c r="A280">
        <v>14</v>
      </c>
      <c r="B280" t="s">
        <v>2666</v>
      </c>
      <c r="C280">
        <v>29</v>
      </c>
      <c r="D280" s="128">
        <v>1.8910276084607101</v>
      </c>
      <c r="E280" s="11"/>
      <c r="F280" s="3" t="s">
        <v>448</v>
      </c>
      <c r="G280" s="3">
        <v>0.16323687000000001</v>
      </c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  <c r="BO280" s="11"/>
      <c r="BP280" s="11"/>
      <c r="BQ280" s="11"/>
      <c r="BR280" s="11"/>
    </row>
    <row r="281" spans="1:70" ht="15" x14ac:dyDescent="0.25">
      <c r="A281">
        <v>14</v>
      </c>
      <c r="B281" t="s">
        <v>2666</v>
      </c>
      <c r="C281">
        <v>30</v>
      </c>
      <c r="D281" s="128">
        <v>1.96078479884471</v>
      </c>
      <c r="E281" s="11"/>
      <c r="F281" s="3" t="s">
        <v>449</v>
      </c>
      <c r="G281" s="3">
        <v>0.25</v>
      </c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  <c r="BO281" s="11"/>
      <c r="BP281" s="11"/>
      <c r="BQ281" s="11"/>
      <c r="BR281" s="11"/>
    </row>
    <row r="282" spans="1:70" ht="15" x14ac:dyDescent="0.25">
      <c r="A282">
        <v>14</v>
      </c>
      <c r="B282" t="s">
        <v>2666</v>
      </c>
      <c r="C282">
        <v>31</v>
      </c>
      <c r="D282" s="128">
        <v>2.0305419065072101</v>
      </c>
      <c r="E282" s="11"/>
      <c r="F282" s="3" t="s">
        <v>450</v>
      </c>
      <c r="G282" s="3">
        <v>0.35</v>
      </c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  <c r="BO282" s="11"/>
      <c r="BP282" s="11"/>
      <c r="BQ282" s="11"/>
      <c r="BR282" s="11"/>
    </row>
    <row r="283" spans="1:70" ht="15" x14ac:dyDescent="0.25">
      <c r="A283">
        <v>14</v>
      </c>
      <c r="B283" t="s">
        <v>2666</v>
      </c>
      <c r="C283">
        <v>32</v>
      </c>
      <c r="D283" s="128">
        <v>2.1002992563750702</v>
      </c>
      <c r="E283" s="11"/>
      <c r="F283" s="3" t="s">
        <v>451</v>
      </c>
      <c r="G283" s="3">
        <v>1</v>
      </c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  <c r="BO283" s="11"/>
      <c r="BP283" s="11"/>
      <c r="BQ283" s="11"/>
      <c r="BR283" s="11"/>
    </row>
    <row r="284" spans="1:70" ht="15" x14ac:dyDescent="0.25">
      <c r="A284">
        <v>14</v>
      </c>
      <c r="B284" t="s">
        <v>2666</v>
      </c>
      <c r="C284">
        <v>33</v>
      </c>
      <c r="D284" s="128">
        <v>2.1700563132713002</v>
      </c>
      <c r="E284" s="11"/>
      <c r="F284" s="3" t="s">
        <v>452</v>
      </c>
      <c r="G284" s="3">
        <v>1</v>
      </c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  <c r="BO284" s="11"/>
      <c r="BP284" s="11"/>
      <c r="BQ284" s="11"/>
      <c r="BR284" s="11"/>
    </row>
    <row r="285" spans="1:70" ht="15" x14ac:dyDescent="0.25">
      <c r="A285">
        <v>14</v>
      </c>
      <c r="B285" t="s">
        <v>2666</v>
      </c>
      <c r="C285">
        <v>34</v>
      </c>
      <c r="D285" s="128">
        <v>2.23981353359896</v>
      </c>
      <c r="E285" s="11"/>
      <c r="F285" s="3" t="s">
        <v>453</v>
      </c>
      <c r="G285" s="3">
        <v>1</v>
      </c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</row>
    <row r="286" spans="1:70" ht="15" x14ac:dyDescent="0.25">
      <c r="A286">
        <v>14</v>
      </c>
      <c r="B286" t="s">
        <v>2666</v>
      </c>
      <c r="C286">
        <v>35</v>
      </c>
      <c r="D286" s="128">
        <v>2.3095705436696701</v>
      </c>
      <c r="E286" s="11"/>
      <c r="F286" s="3" t="s">
        <v>454</v>
      </c>
      <c r="G286" s="3">
        <v>2.0599999999999999E-4</v>
      </c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</row>
    <row r="287" spans="1:70" ht="15" x14ac:dyDescent="0.25">
      <c r="A287">
        <v>14</v>
      </c>
      <c r="B287" t="s">
        <v>2666</v>
      </c>
      <c r="C287">
        <v>36</v>
      </c>
      <c r="D287" s="128">
        <v>2.3793279171831601</v>
      </c>
      <c r="E287" s="11"/>
      <c r="F287" s="3" t="s">
        <v>455</v>
      </c>
      <c r="G287" s="3">
        <v>3.0899999999999998E-4</v>
      </c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</row>
    <row r="288" spans="1:70" ht="15" x14ac:dyDescent="0.25">
      <c r="A288">
        <v>14</v>
      </c>
      <c r="B288" t="s">
        <v>2666</v>
      </c>
      <c r="C288">
        <v>37</v>
      </c>
      <c r="D288" s="128">
        <v>2.4490849782971802</v>
      </c>
      <c r="E288" s="11"/>
      <c r="F288" s="3" t="s">
        <v>456</v>
      </c>
      <c r="G288" s="3">
        <v>4.1199999999999999E-4</v>
      </c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</row>
    <row r="289" spans="1:70" ht="15" x14ac:dyDescent="0.25">
      <c r="A289">
        <v>14</v>
      </c>
      <c r="B289" t="s">
        <v>2666</v>
      </c>
      <c r="C289">
        <v>38</v>
      </c>
      <c r="D289" s="128">
        <v>2.5188421689570899</v>
      </c>
      <c r="E289" s="11"/>
      <c r="F289" s="3" t="s">
        <v>457</v>
      </c>
      <c r="G289" s="3">
        <v>6.2074999999999999E-4</v>
      </c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</row>
    <row r="290" spans="1:70" ht="15" x14ac:dyDescent="0.25">
      <c r="A290">
        <v>14</v>
      </c>
      <c r="B290" t="s">
        <v>2666</v>
      </c>
      <c r="C290">
        <v>39</v>
      </c>
      <c r="D290" s="128">
        <v>2.5885996877911102</v>
      </c>
      <c r="E290" s="11"/>
      <c r="F290" s="3" t="s">
        <v>458</v>
      </c>
      <c r="G290" s="3">
        <v>1.3948400000000001E-3</v>
      </c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</row>
    <row r="291" spans="1:70" ht="15" x14ac:dyDescent="0.25">
      <c r="A291">
        <v>14</v>
      </c>
      <c r="B291" t="s">
        <v>2666</v>
      </c>
      <c r="C291">
        <v>40</v>
      </c>
      <c r="D291" s="128">
        <v>2.65835679287619</v>
      </c>
      <c r="E291" s="11"/>
      <c r="F291" s="3" t="s">
        <v>459</v>
      </c>
      <c r="G291" s="3">
        <v>2.1246300000000002E-3</v>
      </c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</row>
    <row r="292" spans="1:70" ht="15" x14ac:dyDescent="0.25">
      <c r="A292">
        <v>14</v>
      </c>
      <c r="B292" t="s">
        <v>2666</v>
      </c>
      <c r="C292">
        <v>41</v>
      </c>
      <c r="D292" s="128">
        <v>2.7282876020727298</v>
      </c>
      <c r="E292" s="11"/>
      <c r="F292" s="3" t="s">
        <v>460</v>
      </c>
      <c r="G292" s="3">
        <v>1.03E-4</v>
      </c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  <c r="BO292" s="11"/>
      <c r="BP292" s="11"/>
      <c r="BQ292" s="11"/>
      <c r="BR292" s="11"/>
    </row>
    <row r="293" spans="1:70" ht="15" x14ac:dyDescent="0.25">
      <c r="A293">
        <v>14</v>
      </c>
      <c r="B293" t="s">
        <v>2666</v>
      </c>
      <c r="C293">
        <v>42</v>
      </c>
      <c r="D293" s="128">
        <v>2.7983924560654598</v>
      </c>
      <c r="E293" s="11"/>
      <c r="F293" s="3" t="s">
        <v>461</v>
      </c>
      <c r="G293" s="3">
        <v>3.07018E-3</v>
      </c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  <c r="BO293" s="11"/>
      <c r="BP293" s="11"/>
      <c r="BQ293" s="11"/>
      <c r="BR293" s="11"/>
    </row>
    <row r="294" spans="1:70" ht="15" x14ac:dyDescent="0.25">
      <c r="A294">
        <v>14</v>
      </c>
      <c r="B294" t="s">
        <v>2666</v>
      </c>
      <c r="C294">
        <v>43</v>
      </c>
      <c r="D294" s="128">
        <v>2.8686716961741001</v>
      </c>
      <c r="E294" s="11"/>
      <c r="F294" s="3" t="s">
        <v>462</v>
      </c>
      <c r="G294" s="3">
        <v>4.4445400000000003E-3</v>
      </c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  <c r="BO294" s="11"/>
      <c r="BP294" s="11"/>
      <c r="BQ294" s="11"/>
      <c r="BR294" s="11"/>
    </row>
    <row r="295" spans="1:70" ht="15" x14ac:dyDescent="0.25">
      <c r="A295">
        <v>14</v>
      </c>
      <c r="B295" t="s">
        <v>2666</v>
      </c>
      <c r="C295">
        <v>44</v>
      </c>
      <c r="D295" s="128">
        <v>2.93912566435462</v>
      </c>
      <c r="E295" s="11"/>
      <c r="F295" s="3" t="s">
        <v>463</v>
      </c>
      <c r="G295" s="3">
        <v>7.5560000000000002E-3</v>
      </c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  <c r="BO295" s="11"/>
      <c r="BP295" s="11"/>
      <c r="BQ295" s="11"/>
      <c r="BR295" s="11"/>
    </row>
    <row r="296" spans="1:70" ht="15" x14ac:dyDescent="0.25">
      <c r="A296">
        <v>14</v>
      </c>
      <c r="B296" t="s">
        <v>2666</v>
      </c>
      <c r="C296">
        <v>45</v>
      </c>
      <c r="D296" s="128">
        <v>3.0097547032004499</v>
      </c>
      <c r="E296" s="11"/>
      <c r="F296" s="3" t="s">
        <v>464</v>
      </c>
      <c r="G296" s="3">
        <v>3.0899999999999998E-4</v>
      </c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  <c r="BO296" s="11"/>
      <c r="BP296" s="11"/>
      <c r="BQ296" s="11"/>
      <c r="BR296" s="11"/>
    </row>
    <row r="297" spans="1:70" ht="15" x14ac:dyDescent="0.25">
      <c r="A297">
        <v>14</v>
      </c>
      <c r="B297" t="s">
        <v>2666</v>
      </c>
      <c r="C297">
        <v>46</v>
      </c>
      <c r="D297" s="128">
        <v>3.0805591559437802</v>
      </c>
      <c r="E297" s="11"/>
      <c r="F297" s="3" t="s">
        <v>465</v>
      </c>
      <c r="G297" s="3">
        <v>4.1199999999999999E-4</v>
      </c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  <c r="BO297" s="11"/>
      <c r="BP297" s="11"/>
      <c r="BQ297" s="11"/>
      <c r="BR297" s="11"/>
    </row>
    <row r="298" spans="1:70" ht="15" x14ac:dyDescent="0.25">
      <c r="A298">
        <v>14</v>
      </c>
      <c r="B298" t="s">
        <v>2666</v>
      </c>
      <c r="C298">
        <v>47</v>
      </c>
      <c r="D298" s="128">
        <v>3.1515393664567601</v>
      </c>
      <c r="E298" s="11"/>
      <c r="F298" s="3" t="s">
        <v>466</v>
      </c>
      <c r="G298" s="3">
        <v>5.1500000000000005E-4</v>
      </c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  <c r="BO298" s="11"/>
      <c r="BP298" s="11"/>
      <c r="BQ298" s="11"/>
      <c r="BR298" s="11"/>
    </row>
    <row r="299" spans="1:70" ht="15" x14ac:dyDescent="0.25">
      <c r="A299">
        <v>14</v>
      </c>
      <c r="B299" t="s">
        <v>2666</v>
      </c>
      <c r="C299">
        <v>48</v>
      </c>
      <c r="D299" s="128">
        <v>3.2226956792527601</v>
      </c>
      <c r="E299" s="11"/>
      <c r="F299" s="3" t="s">
        <v>467</v>
      </c>
      <c r="G299" s="3">
        <v>6.2074999999999999E-4</v>
      </c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</row>
    <row r="300" spans="1:70" ht="15" x14ac:dyDescent="0.25">
      <c r="A300">
        <v>14</v>
      </c>
      <c r="B300" t="s">
        <v>2666</v>
      </c>
      <c r="C300">
        <v>49</v>
      </c>
      <c r="D300" s="128">
        <v>3.2940284394876298</v>
      </c>
      <c r="E300" s="11"/>
      <c r="F300" s="3" t="s">
        <v>468</v>
      </c>
      <c r="G300" s="3">
        <v>9.1759000000000003E-4</v>
      </c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</row>
    <row r="301" spans="1:70" ht="15" x14ac:dyDescent="0.25">
      <c r="A301">
        <v>14</v>
      </c>
      <c r="B301" t="s">
        <v>2666</v>
      </c>
      <c r="C301">
        <v>50</v>
      </c>
      <c r="D301" s="128">
        <v>3.3655379929609701</v>
      </c>
      <c r="E301" s="11"/>
      <c r="F301" s="3" t="s">
        <v>469</v>
      </c>
      <c r="G301" s="3">
        <v>1.3948400000000001E-3</v>
      </c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</row>
    <row r="302" spans="1:70" ht="15" x14ac:dyDescent="0.25">
      <c r="A302">
        <v>15</v>
      </c>
      <c r="B302" t="s">
        <v>2667</v>
      </c>
      <c r="C302">
        <v>1</v>
      </c>
      <c r="D302" s="128">
        <v>5.718715542945E-2</v>
      </c>
      <c r="E302" s="11"/>
      <c r="F302" s="3" t="s">
        <v>470</v>
      </c>
      <c r="G302" s="3">
        <v>2.1246300000000002E-3</v>
      </c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</row>
    <row r="303" spans="1:70" ht="15" x14ac:dyDescent="0.25">
      <c r="A303">
        <v>15</v>
      </c>
      <c r="B303" t="s">
        <v>2667</v>
      </c>
      <c r="C303">
        <v>2</v>
      </c>
      <c r="D303" s="128">
        <v>0.12158623054221999</v>
      </c>
      <c r="E303" s="11"/>
      <c r="F303" s="3" t="s">
        <v>471</v>
      </c>
      <c r="G303" s="3">
        <v>3.07018E-3</v>
      </c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</row>
    <row r="304" spans="1:70" ht="15" x14ac:dyDescent="0.25">
      <c r="A304">
        <v>15</v>
      </c>
      <c r="B304" t="s">
        <v>2667</v>
      </c>
      <c r="C304">
        <v>3</v>
      </c>
      <c r="D304" s="128">
        <v>0.18953128875273001</v>
      </c>
      <c r="E304" s="11"/>
      <c r="F304" s="3" t="s">
        <v>472</v>
      </c>
      <c r="G304" s="3">
        <v>4.4445400000000003E-3</v>
      </c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</row>
    <row r="305" spans="1:70" ht="15" x14ac:dyDescent="0.25">
      <c r="A305">
        <v>15</v>
      </c>
      <c r="B305" t="s">
        <v>2667</v>
      </c>
      <c r="C305">
        <v>4</v>
      </c>
      <c r="D305" s="128">
        <v>0.25747654855518998</v>
      </c>
      <c r="E305" s="11"/>
      <c r="F305" s="3" t="s">
        <v>473</v>
      </c>
      <c r="G305" s="3">
        <v>7.5560000000000002E-3</v>
      </c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</row>
    <row r="306" spans="1:70" ht="15" x14ac:dyDescent="0.25">
      <c r="A306">
        <v>15</v>
      </c>
      <c r="B306" t="s">
        <v>2667</v>
      </c>
      <c r="C306">
        <v>5</v>
      </c>
      <c r="D306" s="128">
        <v>0.3678404439663</v>
      </c>
      <c r="E306" s="11"/>
      <c r="F306" s="3" t="s">
        <v>474</v>
      </c>
      <c r="G306" s="3">
        <v>1.3210009999999999E-2</v>
      </c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</row>
    <row r="307" spans="1:70" ht="15" x14ac:dyDescent="0.25">
      <c r="A307">
        <v>15</v>
      </c>
      <c r="B307" t="s">
        <v>2667</v>
      </c>
      <c r="C307">
        <v>6</v>
      </c>
      <c r="D307" s="128">
        <v>0.47821199607394999</v>
      </c>
      <c r="E307" s="11"/>
      <c r="F307" s="3" t="s">
        <v>475</v>
      </c>
      <c r="G307" s="3">
        <v>2.3749880000000001E-2</v>
      </c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</row>
    <row r="308" spans="1:70" ht="15" x14ac:dyDescent="0.25">
      <c r="A308">
        <v>15</v>
      </c>
      <c r="B308" t="s">
        <v>2667</v>
      </c>
      <c r="C308">
        <v>7</v>
      </c>
      <c r="D308" s="128">
        <v>0.58858792676146998</v>
      </c>
      <c r="E308" s="11"/>
      <c r="F308" s="3" t="s">
        <v>476</v>
      </c>
      <c r="G308" s="3">
        <v>4.3910339999999999E-2</v>
      </c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</row>
    <row r="309" spans="1:70" ht="15" x14ac:dyDescent="0.25">
      <c r="A309">
        <v>15</v>
      </c>
      <c r="B309" t="s">
        <v>2667</v>
      </c>
      <c r="C309">
        <v>8</v>
      </c>
      <c r="D309" s="128">
        <v>0.69896667197978002</v>
      </c>
      <c r="E309" s="11"/>
      <c r="F309" s="3" t="s">
        <v>477</v>
      </c>
      <c r="G309" s="3">
        <v>8.3487039999999998E-2</v>
      </c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</row>
    <row r="310" spans="1:70" ht="15" x14ac:dyDescent="0.25">
      <c r="A310">
        <v>15</v>
      </c>
      <c r="B310" t="s">
        <v>2667</v>
      </c>
      <c r="C310">
        <v>9</v>
      </c>
      <c r="D310" s="128">
        <v>0.80934720984763997</v>
      </c>
      <c r="E310" s="11"/>
      <c r="F310" s="3" t="s">
        <v>478</v>
      </c>
      <c r="G310" s="3">
        <v>0.25</v>
      </c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</row>
    <row r="311" spans="1:70" ht="15" x14ac:dyDescent="0.25">
      <c r="A311">
        <v>15</v>
      </c>
      <c r="B311" t="s">
        <v>2667</v>
      </c>
      <c r="C311">
        <v>10</v>
      </c>
      <c r="D311" s="128">
        <v>0.91972902551608005</v>
      </c>
      <c r="E311" s="11"/>
      <c r="F311" s="3" t="s">
        <v>479</v>
      </c>
      <c r="G311" s="3">
        <v>0.35</v>
      </c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</row>
    <row r="312" spans="1:70" ht="15" x14ac:dyDescent="0.25">
      <c r="A312">
        <v>15</v>
      </c>
      <c r="B312" t="s">
        <v>2667</v>
      </c>
      <c r="C312">
        <v>11</v>
      </c>
      <c r="D312" s="128">
        <v>1.03011187658936</v>
      </c>
      <c r="E312" s="11"/>
      <c r="F312" s="3" t="s">
        <v>480</v>
      </c>
      <c r="G312" s="3">
        <v>1</v>
      </c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</row>
    <row r="313" spans="1:70" ht="15" x14ac:dyDescent="0.25">
      <c r="A313">
        <v>15</v>
      </c>
      <c r="B313" t="s">
        <v>2667</v>
      </c>
      <c r="C313">
        <v>12</v>
      </c>
      <c r="D313" s="128">
        <v>1.14049539663384</v>
      </c>
      <c r="E313" s="11"/>
      <c r="F313" s="3" t="s">
        <v>481</v>
      </c>
      <c r="G313" s="3">
        <v>1</v>
      </c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</row>
    <row r="314" spans="1:70" ht="15" x14ac:dyDescent="0.25">
      <c r="A314">
        <v>15</v>
      </c>
      <c r="B314" t="s">
        <v>2667</v>
      </c>
      <c r="C314">
        <v>13</v>
      </c>
      <c r="D314" s="128">
        <v>1.25087946972786</v>
      </c>
      <c r="E314" s="11"/>
      <c r="F314" s="3" t="s">
        <v>482</v>
      </c>
      <c r="G314" s="3">
        <v>1</v>
      </c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</row>
    <row r="315" spans="1:70" ht="15" x14ac:dyDescent="0.25">
      <c r="A315">
        <v>15</v>
      </c>
      <c r="B315" t="s">
        <v>2667</v>
      </c>
      <c r="C315">
        <v>14</v>
      </c>
      <c r="D315" s="128">
        <v>1.3612638618065001</v>
      </c>
      <c r="E315" s="11"/>
      <c r="F315" s="3" t="s">
        <v>483</v>
      </c>
      <c r="G315" s="3">
        <v>1.03E-4</v>
      </c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</row>
    <row r="316" spans="1:70" ht="15" x14ac:dyDescent="0.25">
      <c r="A316">
        <v>15</v>
      </c>
      <c r="B316" t="s">
        <v>2667</v>
      </c>
      <c r="C316">
        <v>15</v>
      </c>
      <c r="D316" s="128">
        <v>1.47164877778452</v>
      </c>
      <c r="E316" s="11"/>
      <c r="F316" s="3" t="s">
        <v>484</v>
      </c>
      <c r="G316" s="3">
        <v>2.0599999999999999E-4</v>
      </c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</row>
    <row r="317" spans="1:70" ht="15" x14ac:dyDescent="0.25">
      <c r="A317">
        <v>15</v>
      </c>
      <c r="B317" t="s">
        <v>2667</v>
      </c>
      <c r="C317">
        <v>16</v>
      </c>
      <c r="D317" s="128">
        <v>1.58203384831086</v>
      </c>
      <c r="E317" s="11"/>
      <c r="F317" s="3" t="s">
        <v>485</v>
      </c>
      <c r="G317" s="3">
        <v>3.0899999999999998E-4</v>
      </c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</row>
    <row r="318" spans="1:70" ht="15" x14ac:dyDescent="0.25">
      <c r="A318">
        <v>15</v>
      </c>
      <c r="B318" t="s">
        <v>2667</v>
      </c>
      <c r="C318">
        <v>17</v>
      </c>
      <c r="D318" s="128">
        <v>1.69241910863558</v>
      </c>
      <c r="E318" s="11"/>
      <c r="F318" s="3" t="s">
        <v>486</v>
      </c>
      <c r="G318" s="3">
        <v>4.1199999999999999E-4</v>
      </c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</row>
    <row r="319" spans="1:70" ht="15" x14ac:dyDescent="0.25">
      <c r="A319">
        <v>15</v>
      </c>
      <c r="B319" t="s">
        <v>2667</v>
      </c>
      <c r="C319">
        <v>18</v>
      </c>
      <c r="D319" s="128">
        <v>1.8028046304486101</v>
      </c>
      <c r="E319" s="11"/>
      <c r="F319" s="3" t="s">
        <v>487</v>
      </c>
      <c r="G319" s="3">
        <v>5.1500000000000005E-4</v>
      </c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</row>
    <row r="320" spans="1:70" ht="15" x14ac:dyDescent="0.25">
      <c r="A320">
        <v>15</v>
      </c>
      <c r="B320" t="s">
        <v>2667</v>
      </c>
      <c r="C320">
        <v>19</v>
      </c>
      <c r="D320" s="128">
        <v>1.9131902916989001</v>
      </c>
      <c r="E320" s="11"/>
      <c r="F320" s="3" t="s">
        <v>488</v>
      </c>
      <c r="G320" s="3">
        <v>6.2074999999999999E-4</v>
      </c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</row>
    <row r="321" spans="1:70" ht="15" x14ac:dyDescent="0.25">
      <c r="A321">
        <v>15</v>
      </c>
      <c r="B321" t="s">
        <v>2667</v>
      </c>
      <c r="C321">
        <v>20</v>
      </c>
      <c r="D321" s="128">
        <v>2.0235760996250698</v>
      </c>
      <c r="E321" s="11"/>
      <c r="F321" s="3" t="s">
        <v>489</v>
      </c>
      <c r="G321" s="3">
        <v>9.1759000000000003E-4</v>
      </c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</row>
    <row r="322" spans="1:70" ht="15" x14ac:dyDescent="0.25">
      <c r="A322">
        <v>15</v>
      </c>
      <c r="B322" t="s">
        <v>2667</v>
      </c>
      <c r="C322">
        <v>21</v>
      </c>
      <c r="D322" s="128">
        <v>2.13396226337656</v>
      </c>
      <c r="E322" s="11"/>
      <c r="F322" s="3" t="s">
        <v>490</v>
      </c>
      <c r="G322" s="3">
        <v>1.3948400000000001E-3</v>
      </c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</row>
    <row r="323" spans="1:70" ht="15" x14ac:dyDescent="0.25">
      <c r="A323">
        <v>15</v>
      </c>
      <c r="B323" t="s">
        <v>2667</v>
      </c>
      <c r="C323">
        <v>22</v>
      </c>
      <c r="D323" s="128">
        <v>2.2443482586524102</v>
      </c>
      <c r="E323" s="11"/>
      <c r="F323" s="3" t="s">
        <v>491</v>
      </c>
      <c r="G323" s="3">
        <v>2.1246300000000002E-3</v>
      </c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</row>
    <row r="324" spans="1:70" ht="15" x14ac:dyDescent="0.25">
      <c r="A324">
        <v>15</v>
      </c>
      <c r="B324" t="s">
        <v>2667</v>
      </c>
      <c r="C324">
        <v>23</v>
      </c>
      <c r="D324" s="128">
        <v>2.3547344118361</v>
      </c>
      <c r="E324" s="11"/>
      <c r="F324" s="3" t="s">
        <v>492</v>
      </c>
      <c r="G324" s="3">
        <v>3.07018E-3</v>
      </c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</row>
    <row r="325" spans="1:70" ht="15" x14ac:dyDescent="0.25">
      <c r="A325">
        <v>15</v>
      </c>
      <c r="B325" t="s">
        <v>2667</v>
      </c>
      <c r="C325">
        <v>24</v>
      </c>
      <c r="D325" s="128">
        <v>2.4651206298448298</v>
      </c>
      <c r="E325" s="11"/>
      <c r="F325" s="3" t="s">
        <v>493</v>
      </c>
      <c r="G325" s="3">
        <v>4.4445400000000003E-3</v>
      </c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</row>
    <row r="326" spans="1:70" ht="15" x14ac:dyDescent="0.25">
      <c r="A326">
        <v>15</v>
      </c>
      <c r="B326" t="s">
        <v>2667</v>
      </c>
      <c r="C326">
        <v>25</v>
      </c>
      <c r="D326" s="128">
        <v>2.5755067244541299</v>
      </c>
      <c r="E326" s="11"/>
      <c r="F326" s="3" t="s">
        <v>494</v>
      </c>
      <c r="G326" s="3">
        <v>7.5560000000000002E-3</v>
      </c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</row>
    <row r="327" spans="1:70" ht="15" x14ac:dyDescent="0.25">
      <c r="A327">
        <v>15</v>
      </c>
      <c r="B327" t="s">
        <v>2667</v>
      </c>
      <c r="C327">
        <v>26</v>
      </c>
      <c r="D327" s="128">
        <v>2.6858933098378999</v>
      </c>
      <c r="E327" s="11"/>
      <c r="F327" s="3" t="s">
        <v>495</v>
      </c>
      <c r="G327" s="3">
        <v>1.3210009999999999E-2</v>
      </c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</row>
    <row r="328" spans="1:70" ht="15" x14ac:dyDescent="0.25">
      <c r="A328">
        <v>15</v>
      </c>
      <c r="B328" t="s">
        <v>2667</v>
      </c>
      <c r="C328">
        <v>27</v>
      </c>
      <c r="D328" s="128">
        <v>2.79627942734276</v>
      </c>
      <c r="E328" s="11"/>
      <c r="F328" s="3" t="s">
        <v>496</v>
      </c>
      <c r="G328" s="3">
        <v>2.3749880000000001E-2</v>
      </c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</row>
    <row r="329" spans="1:70" ht="15" x14ac:dyDescent="0.25">
      <c r="A329">
        <v>15</v>
      </c>
      <c r="B329" t="s">
        <v>2667</v>
      </c>
      <c r="C329">
        <v>28</v>
      </c>
      <c r="D329" s="128">
        <v>2.9066659729878599</v>
      </c>
      <c r="E329" s="11"/>
      <c r="F329" s="3" t="s">
        <v>497</v>
      </c>
      <c r="G329" s="3">
        <v>4.3910339999999999E-2</v>
      </c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</row>
    <row r="330" spans="1:70" ht="15" x14ac:dyDescent="0.25">
      <c r="A330">
        <v>15</v>
      </c>
      <c r="B330" t="s">
        <v>2667</v>
      </c>
      <c r="C330">
        <v>29</v>
      </c>
      <c r="D330" s="128">
        <v>3.0170525063123801</v>
      </c>
      <c r="E330" s="11"/>
      <c r="F330" s="3" t="s">
        <v>498</v>
      </c>
      <c r="G330" s="3">
        <v>8.3487039999999998E-2</v>
      </c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</row>
    <row r="331" spans="1:70" ht="15" x14ac:dyDescent="0.25">
      <c r="A331">
        <v>15</v>
      </c>
      <c r="B331" t="s">
        <v>2667</v>
      </c>
      <c r="C331">
        <v>30</v>
      </c>
      <c r="D331" s="128">
        <v>3.12743917965929</v>
      </c>
      <c r="E331" s="11"/>
      <c r="F331" s="3" t="s">
        <v>499</v>
      </c>
      <c r="G331" s="3">
        <v>0.25</v>
      </c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</row>
    <row r="332" spans="1:70" ht="15" x14ac:dyDescent="0.25">
      <c r="A332">
        <v>15</v>
      </c>
      <c r="B332" t="s">
        <v>2667</v>
      </c>
      <c r="C332">
        <v>31</v>
      </c>
      <c r="D332" s="128">
        <v>3.2378255391869102</v>
      </c>
      <c r="E332" s="11"/>
      <c r="F332" s="3" t="s">
        <v>500</v>
      </c>
      <c r="G332" s="3">
        <v>0.35</v>
      </c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</row>
    <row r="333" spans="1:70" ht="15" x14ac:dyDescent="0.25">
      <c r="A333">
        <v>15</v>
      </c>
      <c r="B333" t="s">
        <v>2667</v>
      </c>
      <c r="C333">
        <v>32</v>
      </c>
      <c r="D333" s="128">
        <v>3.3482122411079001</v>
      </c>
      <c r="E333" s="11"/>
      <c r="F333" s="3" t="s">
        <v>501</v>
      </c>
      <c r="G333" s="3">
        <v>1</v>
      </c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</row>
    <row r="334" spans="1:70" ht="15" x14ac:dyDescent="0.25">
      <c r="A334">
        <v>15</v>
      </c>
      <c r="B334" t="s">
        <v>2667</v>
      </c>
      <c r="C334">
        <v>33</v>
      </c>
      <c r="D334" s="128">
        <v>3.4585988058281099</v>
      </c>
      <c r="E334" s="11"/>
      <c r="F334" s="3" t="s">
        <v>502</v>
      </c>
      <c r="G334" s="3">
        <v>1</v>
      </c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</row>
    <row r="335" spans="1:70" ht="15" x14ac:dyDescent="0.25">
      <c r="A335">
        <v>15</v>
      </c>
      <c r="B335" t="s">
        <v>2667</v>
      </c>
      <c r="C335">
        <v>34</v>
      </c>
      <c r="D335" s="128">
        <v>3.5689853581606998</v>
      </c>
      <c r="E335" s="11"/>
      <c r="F335" s="3" t="s">
        <v>503</v>
      </c>
      <c r="G335" s="3">
        <v>1</v>
      </c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</row>
    <row r="336" spans="1:70" ht="15" x14ac:dyDescent="0.25">
      <c r="A336">
        <v>15</v>
      </c>
      <c r="B336" t="s">
        <v>2667</v>
      </c>
      <c r="C336">
        <v>35</v>
      </c>
      <c r="D336" s="128">
        <v>3.6793720562858501</v>
      </c>
      <c r="E336" s="11"/>
      <c r="F336" s="3" t="s">
        <v>504</v>
      </c>
      <c r="G336" s="3">
        <v>1.03E-4</v>
      </c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</row>
    <row r="337" spans="1:70" ht="15" x14ac:dyDescent="0.25">
      <c r="A337">
        <v>15</v>
      </c>
      <c r="B337" t="s">
        <v>2667</v>
      </c>
      <c r="C337">
        <v>36</v>
      </c>
      <c r="D337" s="128">
        <v>3.78975893073518</v>
      </c>
      <c r="E337" s="11"/>
      <c r="F337" s="3" t="s">
        <v>505</v>
      </c>
      <c r="G337" s="3">
        <v>2.0599999999999999E-4</v>
      </c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</row>
    <row r="338" spans="1:70" ht="15" x14ac:dyDescent="0.25">
      <c r="A338">
        <v>15</v>
      </c>
      <c r="B338" t="s">
        <v>2667</v>
      </c>
      <c r="C338">
        <v>37</v>
      </c>
      <c r="D338" s="128">
        <v>3.9001453700983402</v>
      </c>
      <c r="E338" s="11"/>
      <c r="F338" s="3" t="s">
        <v>506</v>
      </c>
      <c r="G338" s="3">
        <v>3.0899999999999998E-4</v>
      </c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</row>
    <row r="339" spans="1:70" ht="15" x14ac:dyDescent="0.25">
      <c r="A339">
        <v>15</v>
      </c>
      <c r="B339" t="s">
        <v>2667</v>
      </c>
      <c r="C339">
        <v>38</v>
      </c>
      <c r="D339" s="128">
        <v>4.0105322059225497</v>
      </c>
      <c r="E339" s="11"/>
      <c r="F339" s="3" t="s">
        <v>507</v>
      </c>
      <c r="G339" s="3">
        <v>4.1199999999999999E-4</v>
      </c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</row>
    <row r="340" spans="1:70" ht="15" x14ac:dyDescent="0.25">
      <c r="A340">
        <v>15</v>
      </c>
      <c r="B340" t="s">
        <v>2667</v>
      </c>
      <c r="C340">
        <v>39</v>
      </c>
      <c r="D340" s="128">
        <v>4.1209188736225801</v>
      </c>
      <c r="E340" s="11"/>
      <c r="F340" s="3" t="s">
        <v>508</v>
      </c>
      <c r="G340" s="3">
        <v>5.1500000000000005E-4</v>
      </c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</row>
    <row r="341" spans="1:70" ht="15" x14ac:dyDescent="0.25">
      <c r="A341">
        <v>15</v>
      </c>
      <c r="B341" t="s">
        <v>2667</v>
      </c>
      <c r="C341">
        <v>40</v>
      </c>
      <c r="D341" s="128">
        <v>4.2313056345617603</v>
      </c>
      <c r="E341" s="11"/>
      <c r="F341" s="3" t="s">
        <v>509</v>
      </c>
      <c r="G341" s="3">
        <v>6.2074999999999999E-4</v>
      </c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</row>
    <row r="342" spans="1:70" ht="15" x14ac:dyDescent="0.25">
      <c r="A342">
        <v>15</v>
      </c>
      <c r="B342" t="s">
        <v>2667</v>
      </c>
      <c r="C342">
        <v>41</v>
      </c>
      <c r="D342" s="128">
        <v>4.3419342034047004</v>
      </c>
      <c r="E342" s="11"/>
      <c r="F342" s="3" t="s">
        <v>510</v>
      </c>
      <c r="G342" s="3">
        <v>9.1759000000000003E-4</v>
      </c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</row>
    <row r="343" spans="1:70" ht="15" x14ac:dyDescent="0.25">
      <c r="A343">
        <v>15</v>
      </c>
      <c r="B343" t="s">
        <v>2667</v>
      </c>
      <c r="C343">
        <v>42</v>
      </c>
      <c r="D343" s="128">
        <v>4.4528050047302701</v>
      </c>
      <c r="E343" s="11"/>
      <c r="F343" s="3" t="s">
        <v>511</v>
      </c>
      <c r="G343" s="3">
        <v>1.3948400000000001E-3</v>
      </c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</row>
    <row r="344" spans="1:70" ht="15" x14ac:dyDescent="0.25">
      <c r="A344">
        <v>15</v>
      </c>
      <c r="B344" t="s">
        <v>2667</v>
      </c>
      <c r="C344">
        <v>43</v>
      </c>
      <c r="D344" s="128">
        <v>4.5639184638495296</v>
      </c>
      <c r="E344" s="11"/>
      <c r="F344" s="3" t="s">
        <v>512</v>
      </c>
      <c r="G344" s="3">
        <v>2.1246300000000002E-3</v>
      </c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</row>
    <row r="345" spans="1:70" ht="15" x14ac:dyDescent="0.25">
      <c r="A345">
        <v>15</v>
      </c>
      <c r="B345" t="s">
        <v>2667</v>
      </c>
      <c r="C345">
        <v>44</v>
      </c>
      <c r="D345" s="128">
        <v>4.6752750068071798</v>
      </c>
      <c r="E345" s="11"/>
      <c r="F345" s="3" t="s">
        <v>513</v>
      </c>
      <c r="G345" s="3">
        <v>3.07018E-3</v>
      </c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</row>
    <row r="346" spans="1:70" ht="15" x14ac:dyDescent="0.25">
      <c r="A346">
        <v>15</v>
      </c>
      <c r="B346" t="s">
        <v>2667</v>
      </c>
      <c r="C346">
        <v>45</v>
      </c>
      <c r="D346" s="128">
        <v>4.78687506038293</v>
      </c>
      <c r="E346" s="11"/>
      <c r="F346" s="3" t="s">
        <v>514</v>
      </c>
      <c r="G346" s="3">
        <v>4.4445400000000003E-3</v>
      </c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</row>
    <row r="347" spans="1:70" ht="15" x14ac:dyDescent="0.25">
      <c r="A347">
        <v>15</v>
      </c>
      <c r="B347" t="s">
        <v>2667</v>
      </c>
      <c r="C347">
        <v>46</v>
      </c>
      <c r="D347" s="128">
        <v>4.8987190520928499</v>
      </c>
      <c r="E347" s="11"/>
      <c r="F347" s="3" t="s">
        <v>515</v>
      </c>
      <c r="G347" s="3">
        <v>7.5560000000000002E-3</v>
      </c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</row>
    <row r="348" spans="1:70" ht="15" x14ac:dyDescent="0.25">
      <c r="A348">
        <v>15</v>
      </c>
      <c r="B348" t="s">
        <v>2667</v>
      </c>
      <c r="C348">
        <v>47</v>
      </c>
      <c r="D348" s="128">
        <v>5.0108074101908304</v>
      </c>
      <c r="E348" s="11"/>
      <c r="F348" s="3" t="s">
        <v>516</v>
      </c>
      <c r="G348" s="3">
        <v>1.3210009999999999E-2</v>
      </c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</row>
    <row r="349" spans="1:70" ht="15" x14ac:dyDescent="0.25">
      <c r="A349">
        <v>15</v>
      </c>
      <c r="B349" t="s">
        <v>2667</v>
      </c>
      <c r="C349">
        <v>48</v>
      </c>
      <c r="D349" s="128">
        <v>5.1231405636699296</v>
      </c>
      <c r="E349" s="11"/>
      <c r="F349" s="3" t="s">
        <v>517</v>
      </c>
      <c r="G349" s="3">
        <v>2.3749880000000001E-2</v>
      </c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</row>
    <row r="350" spans="1:70" ht="15" x14ac:dyDescent="0.25">
      <c r="A350">
        <v>15</v>
      </c>
      <c r="B350" t="s">
        <v>2667</v>
      </c>
      <c r="C350">
        <v>49</v>
      </c>
      <c r="D350" s="128">
        <v>5.2357189422637598</v>
      </c>
      <c r="E350" s="11"/>
      <c r="F350" s="3" t="s">
        <v>518</v>
      </c>
      <c r="G350" s="3">
        <v>4.3910339999999999E-2</v>
      </c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</row>
    <row r="351" spans="1:70" ht="15" x14ac:dyDescent="0.25">
      <c r="A351">
        <v>15</v>
      </c>
      <c r="B351" t="s">
        <v>2667</v>
      </c>
      <c r="C351">
        <v>50</v>
      </c>
      <c r="D351" s="128">
        <v>5.3485429764479502</v>
      </c>
      <c r="E351" s="11"/>
      <c r="F351" s="3" t="s">
        <v>519</v>
      </c>
      <c r="G351" s="3">
        <v>8.3487039999999998E-2</v>
      </c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</row>
    <row r="352" spans="1:70" ht="15" x14ac:dyDescent="0.25">
      <c r="A352">
        <v>16</v>
      </c>
      <c r="B352" t="s">
        <v>2668</v>
      </c>
      <c r="C352">
        <v>1</v>
      </c>
      <c r="D352" s="128">
        <v>0.11169140238649</v>
      </c>
      <c r="E352" s="11"/>
      <c r="F352" s="3" t="s">
        <v>520</v>
      </c>
      <c r="G352" s="3">
        <v>0.25</v>
      </c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</row>
    <row r="353" spans="1:70" ht="15" x14ac:dyDescent="0.25">
      <c r="A353">
        <v>16</v>
      </c>
      <c r="B353" t="s">
        <v>2668</v>
      </c>
      <c r="C353">
        <v>2</v>
      </c>
      <c r="D353" s="128">
        <v>0.22524353905812999</v>
      </c>
      <c r="E353" s="11"/>
      <c r="F353" s="3" t="s">
        <v>521</v>
      </c>
      <c r="G353" s="3">
        <v>0.35</v>
      </c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</row>
    <row r="354" spans="1:70" ht="15" x14ac:dyDescent="0.25">
      <c r="A354">
        <v>16</v>
      </c>
      <c r="B354" t="s">
        <v>2668</v>
      </c>
      <c r="C354">
        <v>3</v>
      </c>
      <c r="D354" s="128">
        <v>0.35074594907169998</v>
      </c>
      <c r="E354" s="11"/>
      <c r="F354" s="3" t="s">
        <v>522</v>
      </c>
      <c r="G354" s="3">
        <v>1</v>
      </c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  <c r="BO354" s="11"/>
      <c r="BP354" s="11"/>
      <c r="BQ354" s="11"/>
      <c r="BR354" s="11"/>
    </row>
    <row r="355" spans="1:70" ht="15" x14ac:dyDescent="0.25">
      <c r="A355">
        <v>16</v>
      </c>
      <c r="B355" t="s">
        <v>2668</v>
      </c>
      <c r="C355">
        <v>4</v>
      </c>
      <c r="D355" s="128">
        <v>0.47835308993553999</v>
      </c>
      <c r="E355" s="11"/>
      <c r="F355" s="3" t="s">
        <v>523</v>
      </c>
      <c r="G355" s="3">
        <v>1</v>
      </c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  <c r="BO355" s="11"/>
      <c r="BP355" s="11"/>
      <c r="BQ355" s="11"/>
      <c r="BR355" s="11"/>
    </row>
    <row r="356" spans="1:70" ht="15" x14ac:dyDescent="0.25">
      <c r="A356">
        <v>16</v>
      </c>
      <c r="B356" t="s">
        <v>2668</v>
      </c>
      <c r="C356">
        <v>5</v>
      </c>
      <c r="D356" s="128">
        <v>0.61250299782648998</v>
      </c>
      <c r="E356" s="11"/>
      <c r="F356" s="3" t="s">
        <v>524</v>
      </c>
      <c r="G356" s="3">
        <v>1</v>
      </c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  <c r="BO356" s="11"/>
      <c r="BP356" s="11"/>
      <c r="BQ356" s="11"/>
      <c r="BR356" s="11"/>
    </row>
    <row r="357" spans="1:70" ht="15" x14ac:dyDescent="0.25">
      <c r="A357">
        <v>16</v>
      </c>
      <c r="B357" t="s">
        <v>2668</v>
      </c>
      <c r="C357">
        <v>6</v>
      </c>
      <c r="D357" s="128">
        <v>0.74665446783651002</v>
      </c>
      <c r="E357" s="11"/>
      <c r="F357" s="3" t="s">
        <v>525</v>
      </c>
      <c r="G357" s="3">
        <v>1.03E-4</v>
      </c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  <c r="BO357" s="11"/>
      <c r="BP357" s="11"/>
      <c r="BQ357" s="11"/>
      <c r="BR357" s="11"/>
    </row>
    <row r="358" spans="1:70" ht="15" x14ac:dyDescent="0.25">
      <c r="A358">
        <v>16</v>
      </c>
      <c r="B358" t="s">
        <v>2668</v>
      </c>
      <c r="C358">
        <v>7</v>
      </c>
      <c r="D358" s="128">
        <v>0.88080684662172004</v>
      </c>
      <c r="E358" s="11"/>
      <c r="F358" s="3" t="s">
        <v>526</v>
      </c>
      <c r="G358" s="3">
        <v>2.0599999999999999E-4</v>
      </c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  <c r="BO358" s="11"/>
      <c r="BP358" s="11"/>
      <c r="BQ358" s="11"/>
      <c r="BR358" s="11"/>
    </row>
    <row r="359" spans="1:70" ht="15" x14ac:dyDescent="0.25">
      <c r="A359">
        <v>16</v>
      </c>
      <c r="B359" t="s">
        <v>2668</v>
      </c>
      <c r="C359">
        <v>8</v>
      </c>
      <c r="D359" s="128">
        <v>1.0149597244758799</v>
      </c>
      <c r="E359" s="11"/>
      <c r="F359" s="3" t="s">
        <v>527</v>
      </c>
      <c r="G359" s="3">
        <v>3.0899999999999998E-4</v>
      </c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  <c r="BO359" s="11"/>
      <c r="BP359" s="11"/>
      <c r="BQ359" s="11"/>
      <c r="BR359" s="11"/>
    </row>
    <row r="360" spans="1:70" ht="15" x14ac:dyDescent="0.25">
      <c r="A360">
        <v>16</v>
      </c>
      <c r="B360" t="s">
        <v>2668</v>
      </c>
      <c r="C360">
        <v>9</v>
      </c>
      <c r="D360" s="128">
        <v>1.1491129447611601</v>
      </c>
      <c r="E360" s="11"/>
      <c r="F360" s="3" t="s">
        <v>528</v>
      </c>
      <c r="G360" s="3">
        <v>4.1199999999999999E-4</v>
      </c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  <c r="BO360" s="11"/>
      <c r="BP360" s="11"/>
      <c r="BQ360" s="11"/>
      <c r="BR360" s="11"/>
    </row>
    <row r="361" spans="1:70" ht="15" x14ac:dyDescent="0.25">
      <c r="A361">
        <v>16</v>
      </c>
      <c r="B361" t="s">
        <v>2668</v>
      </c>
      <c r="C361">
        <v>10</v>
      </c>
      <c r="D361" s="128">
        <v>1.2832665591047201</v>
      </c>
      <c r="E361" s="11"/>
      <c r="F361" s="3" t="s">
        <v>529</v>
      </c>
      <c r="G361" s="3">
        <v>5.1500000000000005E-4</v>
      </c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</row>
    <row r="362" spans="1:70" ht="15" x14ac:dyDescent="0.25">
      <c r="A362">
        <v>16</v>
      </c>
      <c r="B362" t="s">
        <v>2668</v>
      </c>
      <c r="C362">
        <v>11</v>
      </c>
      <c r="D362" s="128">
        <v>1.41742022254711</v>
      </c>
      <c r="E362" s="11"/>
      <c r="F362" s="3" t="s">
        <v>530</v>
      </c>
      <c r="G362" s="3">
        <v>6.2074999999999999E-4</v>
      </c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  <c r="BO362" s="11"/>
      <c r="BP362" s="11"/>
      <c r="BQ362" s="11"/>
      <c r="BR362" s="11"/>
    </row>
    <row r="363" spans="1:70" ht="15" x14ac:dyDescent="0.25">
      <c r="A363">
        <v>16</v>
      </c>
      <c r="B363" t="s">
        <v>2668</v>
      </c>
      <c r="C363">
        <v>12</v>
      </c>
      <c r="D363" s="128">
        <v>1.5515741157946299</v>
      </c>
      <c r="E363" s="11"/>
      <c r="F363" s="3" t="s">
        <v>531</v>
      </c>
      <c r="G363" s="3">
        <v>9.1759000000000003E-4</v>
      </c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  <c r="BO363" s="11"/>
      <c r="BP363" s="11"/>
      <c r="BQ363" s="11"/>
      <c r="BR363" s="11"/>
    </row>
    <row r="364" spans="1:70" ht="15" x14ac:dyDescent="0.25">
      <c r="A364">
        <v>16</v>
      </c>
      <c r="B364" t="s">
        <v>2668</v>
      </c>
      <c r="C364">
        <v>13</v>
      </c>
      <c r="D364" s="128">
        <v>1.68572797905081</v>
      </c>
      <c r="E364" s="11"/>
      <c r="F364" s="3" t="s">
        <v>532</v>
      </c>
      <c r="G364" s="3">
        <v>1.3948400000000001E-3</v>
      </c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  <c r="BO364" s="11"/>
      <c r="BP364" s="11"/>
      <c r="BQ364" s="11"/>
      <c r="BR364" s="11"/>
    </row>
    <row r="365" spans="1:70" ht="15" x14ac:dyDescent="0.25">
      <c r="A365">
        <v>16</v>
      </c>
      <c r="B365" t="s">
        <v>2668</v>
      </c>
      <c r="C365">
        <v>14</v>
      </c>
      <c r="D365" s="128">
        <v>1.8198820335122801</v>
      </c>
      <c r="E365" s="11"/>
      <c r="F365" s="3" t="s">
        <v>533</v>
      </c>
      <c r="G365" s="3">
        <v>2.1246300000000002E-3</v>
      </c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  <c r="BO365" s="11"/>
      <c r="BP365" s="11"/>
      <c r="BQ365" s="11"/>
      <c r="BR365" s="11"/>
    </row>
    <row r="366" spans="1:70" ht="15" x14ac:dyDescent="0.25">
      <c r="A366">
        <v>16</v>
      </c>
      <c r="B366" t="s">
        <v>2668</v>
      </c>
      <c r="C366">
        <v>15</v>
      </c>
      <c r="D366" s="128">
        <v>1.9540361473241701</v>
      </c>
      <c r="E366" s="11"/>
      <c r="F366" s="3" t="s">
        <v>534</v>
      </c>
      <c r="G366" s="3">
        <v>3.07018E-3</v>
      </c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  <c r="BO366" s="11"/>
      <c r="BP366" s="11"/>
      <c r="BQ366" s="11"/>
      <c r="BR366" s="11"/>
    </row>
    <row r="367" spans="1:70" ht="15" x14ac:dyDescent="0.25">
      <c r="A367">
        <v>16</v>
      </c>
      <c r="B367" t="s">
        <v>2668</v>
      </c>
      <c r="C367">
        <v>16</v>
      </c>
      <c r="D367" s="128">
        <v>2.0881902185766799</v>
      </c>
      <c r="E367" s="11"/>
      <c r="F367" s="3" t="s">
        <v>535</v>
      </c>
      <c r="G367" s="3">
        <v>4.4445400000000003E-3</v>
      </c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</row>
    <row r="368" spans="1:70" ht="15" x14ac:dyDescent="0.25">
      <c r="A368">
        <v>16</v>
      </c>
      <c r="B368" t="s">
        <v>2668</v>
      </c>
      <c r="C368">
        <v>17</v>
      </c>
      <c r="D368" s="128">
        <v>2.2223445835011999</v>
      </c>
      <c r="E368" s="11"/>
      <c r="F368" s="3" t="s">
        <v>536</v>
      </c>
      <c r="G368" s="3">
        <v>7.5560000000000002E-3</v>
      </c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  <c r="BO368" s="11"/>
      <c r="BP368" s="11"/>
      <c r="BQ368" s="11"/>
      <c r="BR368" s="11"/>
    </row>
    <row r="369" spans="1:70" ht="15" x14ac:dyDescent="0.25">
      <c r="A369">
        <v>16</v>
      </c>
      <c r="B369" t="s">
        <v>2668</v>
      </c>
      <c r="C369">
        <v>18</v>
      </c>
      <c r="D369" s="128">
        <v>2.35649885181875</v>
      </c>
      <c r="E369" s="11"/>
      <c r="F369" s="3" t="s">
        <v>537</v>
      </c>
      <c r="G369" s="3">
        <v>1.3210009999999999E-2</v>
      </c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  <c r="BO369" s="11"/>
      <c r="BP369" s="11"/>
      <c r="BQ369" s="11"/>
      <c r="BR369" s="11"/>
    </row>
    <row r="370" spans="1:70" ht="15" x14ac:dyDescent="0.25">
      <c r="A370">
        <v>16</v>
      </c>
      <c r="B370" t="s">
        <v>2668</v>
      </c>
      <c r="C370">
        <v>19</v>
      </c>
      <c r="D370" s="128">
        <v>2.4906530216014899</v>
      </c>
      <c r="E370" s="11"/>
      <c r="F370" s="3" t="s">
        <v>538</v>
      </c>
      <c r="G370" s="3">
        <v>2.3749880000000001E-2</v>
      </c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  <c r="BO370" s="11"/>
      <c r="BP370" s="11"/>
      <c r="BQ370" s="11"/>
      <c r="BR370" s="11"/>
    </row>
    <row r="371" spans="1:70" ht="15" x14ac:dyDescent="0.25">
      <c r="A371">
        <v>16</v>
      </c>
      <c r="B371" t="s">
        <v>2668</v>
      </c>
      <c r="C371">
        <v>20</v>
      </c>
      <c r="D371" s="128">
        <v>2.6248073525088902</v>
      </c>
      <c r="E371" s="11"/>
      <c r="F371" s="3" t="s">
        <v>539</v>
      </c>
      <c r="G371" s="3">
        <v>4.3910339999999999E-2</v>
      </c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  <c r="BO371" s="11"/>
      <c r="BP371" s="11"/>
      <c r="BQ371" s="11"/>
      <c r="BR371" s="11"/>
    </row>
    <row r="372" spans="1:70" ht="15" x14ac:dyDescent="0.25">
      <c r="A372">
        <v>16</v>
      </c>
      <c r="B372" t="s">
        <v>2668</v>
      </c>
      <c r="C372">
        <v>21</v>
      </c>
      <c r="D372" s="128">
        <v>2.7589616657493301</v>
      </c>
      <c r="E372" s="11"/>
      <c r="F372" s="3" t="s">
        <v>540</v>
      </c>
      <c r="G372" s="3">
        <v>8.3487039999999998E-2</v>
      </c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  <c r="BO372" s="11"/>
      <c r="BP372" s="11"/>
      <c r="BQ372" s="11"/>
      <c r="BR372" s="11"/>
    </row>
    <row r="373" spans="1:70" ht="15" x14ac:dyDescent="0.25">
      <c r="A373">
        <v>16</v>
      </c>
      <c r="B373" t="s">
        <v>2668</v>
      </c>
      <c r="C373">
        <v>22</v>
      </c>
      <c r="D373" s="128">
        <v>2.8931160350334402</v>
      </c>
      <c r="E373" s="11"/>
      <c r="F373" s="3" t="s">
        <v>541</v>
      </c>
      <c r="G373" s="3">
        <v>0.25</v>
      </c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  <c r="BO373" s="11"/>
      <c r="BP373" s="11"/>
      <c r="BQ373" s="11"/>
      <c r="BR373" s="11"/>
    </row>
    <row r="374" spans="1:70" ht="15" x14ac:dyDescent="0.25">
      <c r="A374">
        <v>16</v>
      </c>
      <c r="B374" t="s">
        <v>2668</v>
      </c>
      <c r="C374">
        <v>23</v>
      </c>
      <c r="D374" s="128">
        <v>3.0272702805442502</v>
      </c>
      <c r="E374" s="11"/>
      <c r="F374" s="3" t="s">
        <v>542</v>
      </c>
      <c r="G374" s="3">
        <v>0.35</v>
      </c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  <c r="BO374" s="11"/>
      <c r="BP374" s="11"/>
      <c r="BQ374" s="11"/>
      <c r="BR374" s="11"/>
    </row>
    <row r="375" spans="1:70" ht="15" x14ac:dyDescent="0.25">
      <c r="A375">
        <v>16</v>
      </c>
      <c r="B375" t="s">
        <v>2668</v>
      </c>
      <c r="C375">
        <v>24</v>
      </c>
      <c r="D375" s="128">
        <v>3.16142475780397</v>
      </c>
      <c r="E375" s="11"/>
      <c r="F375" s="3" t="s">
        <v>543</v>
      </c>
      <c r="G375" s="3">
        <v>1</v>
      </c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  <c r="BO375" s="11"/>
      <c r="BP375" s="11"/>
      <c r="BQ375" s="11"/>
      <c r="BR375" s="11"/>
    </row>
    <row r="376" spans="1:70" ht="15" x14ac:dyDescent="0.25">
      <c r="A376">
        <v>16</v>
      </c>
      <c r="B376" t="s">
        <v>2668</v>
      </c>
      <c r="C376">
        <v>25</v>
      </c>
      <c r="D376" s="128">
        <v>3.29557909762927</v>
      </c>
      <c r="E376" s="11"/>
      <c r="F376" s="3" t="s">
        <v>544</v>
      </c>
      <c r="G376" s="3">
        <v>1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  <c r="BO376" s="11"/>
      <c r="BP376" s="11"/>
      <c r="BQ376" s="11"/>
      <c r="BR376" s="11"/>
    </row>
    <row r="377" spans="1:70" ht="15" x14ac:dyDescent="0.25">
      <c r="A377">
        <v>16</v>
      </c>
      <c r="B377" t="s">
        <v>2668</v>
      </c>
      <c r="C377">
        <v>26</v>
      </c>
      <c r="D377" s="128">
        <v>3.4297334393986998</v>
      </c>
      <c r="E377" s="11"/>
      <c r="F377" s="3" t="s">
        <v>545</v>
      </c>
      <c r="G377" s="3">
        <v>1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  <c r="BO377" s="11"/>
      <c r="BP377" s="11"/>
      <c r="BQ377" s="11"/>
      <c r="BR377" s="11"/>
    </row>
    <row r="378" spans="1:70" ht="15" x14ac:dyDescent="0.25">
      <c r="A378">
        <v>16</v>
      </c>
      <c r="B378" t="s">
        <v>2668</v>
      </c>
      <c r="C378">
        <v>27</v>
      </c>
      <c r="D378" s="128">
        <v>3.5638879747170402</v>
      </c>
      <c r="E378" s="11"/>
      <c r="F378" s="3" t="s">
        <v>546</v>
      </c>
      <c r="G378" s="3">
        <v>4.1199999999999999E-4</v>
      </c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  <c r="BO378" s="11"/>
      <c r="BP378" s="11"/>
      <c r="BQ378" s="11"/>
      <c r="BR378" s="11"/>
    </row>
    <row r="379" spans="1:70" ht="15" x14ac:dyDescent="0.25">
      <c r="A379">
        <v>16</v>
      </c>
      <c r="B379" t="s">
        <v>2668</v>
      </c>
      <c r="C379">
        <v>28</v>
      </c>
      <c r="D379" s="128">
        <v>3.6980425629678599</v>
      </c>
      <c r="E379" s="11"/>
      <c r="F379" s="3" t="s">
        <v>547</v>
      </c>
      <c r="G379" s="3">
        <v>6.2074999999999999E-4</v>
      </c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  <c r="BO379" s="11"/>
      <c r="BP379" s="11"/>
      <c r="BQ379" s="11"/>
      <c r="BR379" s="11"/>
    </row>
    <row r="380" spans="1:70" ht="15" x14ac:dyDescent="0.25">
      <c r="A380">
        <v>16</v>
      </c>
      <c r="B380" t="s">
        <v>2668</v>
      </c>
      <c r="C380">
        <v>29</v>
      </c>
      <c r="D380" s="128">
        <v>3.83219676656174</v>
      </c>
      <c r="E380" s="11"/>
      <c r="F380" s="3" t="s">
        <v>548</v>
      </c>
      <c r="G380" s="3">
        <v>9.1759000000000003E-4</v>
      </c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</row>
    <row r="381" spans="1:70" ht="15" x14ac:dyDescent="0.25">
      <c r="A381">
        <v>16</v>
      </c>
      <c r="B381" t="s">
        <v>2668</v>
      </c>
      <c r="C381">
        <v>30</v>
      </c>
      <c r="D381" s="128">
        <v>3.9663511095737198</v>
      </c>
      <c r="E381" s="11"/>
      <c r="F381" s="3" t="s">
        <v>549</v>
      </c>
      <c r="G381" s="3">
        <v>1.3948400000000001E-3</v>
      </c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  <c r="BO381" s="11"/>
      <c r="BP381" s="11"/>
      <c r="BQ381" s="11"/>
      <c r="BR381" s="11"/>
    </row>
    <row r="382" spans="1:70" ht="15" x14ac:dyDescent="0.25">
      <c r="A382">
        <v>16</v>
      </c>
      <c r="B382" t="s">
        <v>2668</v>
      </c>
      <c r="C382">
        <v>31</v>
      </c>
      <c r="D382" s="128">
        <v>4.1005057224469903</v>
      </c>
      <c r="E382" s="11"/>
      <c r="F382" s="3" t="s">
        <v>550</v>
      </c>
      <c r="G382" s="3">
        <v>1E-4</v>
      </c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</row>
    <row r="383" spans="1:70" ht="15" x14ac:dyDescent="0.25">
      <c r="A383">
        <v>16</v>
      </c>
      <c r="B383" t="s">
        <v>2668</v>
      </c>
      <c r="C383">
        <v>32</v>
      </c>
      <c r="D383" s="128">
        <v>4.2346603055604399</v>
      </c>
      <c r="E383" s="11"/>
      <c r="F383" s="3" t="s">
        <v>551</v>
      </c>
      <c r="G383" s="3">
        <v>2.1246300000000002E-3</v>
      </c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  <c r="BO383" s="11"/>
      <c r="BP383" s="11"/>
      <c r="BQ383" s="11"/>
      <c r="BR383" s="11"/>
    </row>
    <row r="384" spans="1:70" ht="15" x14ac:dyDescent="0.25">
      <c r="A384">
        <v>16</v>
      </c>
      <c r="B384" t="s">
        <v>2668</v>
      </c>
      <c r="C384">
        <v>33</v>
      </c>
      <c r="D384" s="128">
        <v>4.3688145606540996</v>
      </c>
      <c r="E384" s="11"/>
      <c r="F384" s="3" t="s">
        <v>552</v>
      </c>
      <c r="G384" s="3">
        <v>3.07018E-3</v>
      </c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  <c r="BO384" s="11"/>
      <c r="BP384" s="11"/>
      <c r="BQ384" s="11"/>
      <c r="BR384" s="11"/>
    </row>
    <row r="385" spans="1:70" ht="15" x14ac:dyDescent="0.25">
      <c r="A385">
        <v>16</v>
      </c>
      <c r="B385" t="s">
        <v>2668</v>
      </c>
      <c r="C385">
        <v>34</v>
      </c>
      <c r="D385" s="128">
        <v>4.5029691742345701</v>
      </c>
      <c r="E385" s="11"/>
      <c r="F385" s="3" t="s">
        <v>553</v>
      </c>
      <c r="G385" s="3">
        <v>4.4445400000000003E-3</v>
      </c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  <c r="BO385" s="11"/>
      <c r="BP385" s="11"/>
      <c r="BQ385" s="11"/>
      <c r="BR385" s="11"/>
    </row>
    <row r="386" spans="1:70" ht="15" x14ac:dyDescent="0.25">
      <c r="A386">
        <v>16</v>
      </c>
      <c r="B386" t="s">
        <v>2668</v>
      </c>
      <c r="C386">
        <v>35</v>
      </c>
      <c r="D386" s="128">
        <v>4.6371236584106699</v>
      </c>
      <c r="E386" s="11"/>
      <c r="F386" s="3" t="s">
        <v>554</v>
      </c>
      <c r="G386" s="3">
        <v>7.5560000000000002E-3</v>
      </c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  <c r="BO386" s="11"/>
      <c r="BP386" s="11"/>
      <c r="BQ386" s="11"/>
      <c r="BR386" s="11"/>
    </row>
    <row r="387" spans="1:70" ht="15" x14ac:dyDescent="0.25">
      <c r="A387">
        <v>16</v>
      </c>
      <c r="B387" t="s">
        <v>2668</v>
      </c>
      <c r="C387">
        <v>36</v>
      </c>
      <c r="D387" s="128">
        <v>4.7712781499062196</v>
      </c>
      <c r="E387" s="11"/>
      <c r="F387" s="3" t="s">
        <v>555</v>
      </c>
      <c r="G387" s="3">
        <v>1.3210009999999999E-2</v>
      </c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  <c r="BO387" s="11"/>
      <c r="BP387" s="11"/>
      <c r="BQ387" s="11"/>
      <c r="BR387" s="11"/>
    </row>
    <row r="388" spans="1:70" ht="15" x14ac:dyDescent="0.25">
      <c r="A388">
        <v>16</v>
      </c>
      <c r="B388" t="s">
        <v>2668</v>
      </c>
      <c r="C388">
        <v>37</v>
      </c>
      <c r="D388" s="128">
        <v>4.9054324623361598</v>
      </c>
      <c r="E388" s="11"/>
      <c r="F388" s="3" t="s">
        <v>556</v>
      </c>
      <c r="G388" s="3">
        <v>2.3749880000000001E-2</v>
      </c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  <c r="BO388" s="11"/>
      <c r="BP388" s="11"/>
      <c r="BQ388" s="11"/>
      <c r="BR388" s="11"/>
    </row>
    <row r="389" spans="1:70" ht="15" x14ac:dyDescent="0.25">
      <c r="A389">
        <v>16</v>
      </c>
      <c r="B389" t="s">
        <v>2668</v>
      </c>
      <c r="C389">
        <v>38</v>
      </c>
      <c r="D389" s="128">
        <v>5.0395868178719896</v>
      </c>
      <c r="E389" s="11"/>
      <c r="F389" s="3" t="s">
        <v>557</v>
      </c>
      <c r="G389" s="3">
        <v>4.3910339999999999E-2</v>
      </c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  <c r="BO389" s="11"/>
      <c r="BP389" s="11"/>
      <c r="BQ389" s="11"/>
      <c r="BR389" s="11"/>
    </row>
    <row r="390" spans="1:70" ht="15" x14ac:dyDescent="0.25">
      <c r="A390">
        <v>16</v>
      </c>
      <c r="B390" t="s">
        <v>2668</v>
      </c>
      <c r="C390">
        <v>39</v>
      </c>
      <c r="D390" s="128">
        <v>5.1737413193348596</v>
      </c>
      <c r="E390" s="11"/>
      <c r="F390" s="3" t="s">
        <v>558</v>
      </c>
      <c r="G390" s="3">
        <v>8.3487039999999998E-2</v>
      </c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  <c r="BO390" s="11"/>
      <c r="BP390" s="11"/>
      <c r="BQ390" s="11"/>
      <c r="BR390" s="11"/>
    </row>
    <row r="391" spans="1:70" ht="15" x14ac:dyDescent="0.25">
      <c r="A391">
        <v>16</v>
      </c>
      <c r="B391" t="s">
        <v>2668</v>
      </c>
      <c r="C391">
        <v>40</v>
      </c>
      <c r="D391" s="128">
        <v>5.3078958301120096</v>
      </c>
      <c r="E391" s="11"/>
      <c r="F391" s="3" t="s">
        <v>559</v>
      </c>
      <c r="G391" s="3">
        <v>0.25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  <c r="BO391" s="11"/>
      <c r="BP391" s="11"/>
      <c r="BQ391" s="11"/>
      <c r="BR391" s="11"/>
    </row>
    <row r="392" spans="1:70" ht="15" x14ac:dyDescent="0.25">
      <c r="A392">
        <v>16</v>
      </c>
      <c r="B392" t="s">
        <v>2668</v>
      </c>
      <c r="C392">
        <v>41</v>
      </c>
      <c r="D392" s="128">
        <v>5.4421255254244203</v>
      </c>
      <c r="E392" s="11"/>
      <c r="F392" s="3" t="s">
        <v>560</v>
      </c>
      <c r="G392" s="3">
        <v>0.35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  <c r="BO392" s="11"/>
      <c r="BP392" s="11"/>
      <c r="BQ392" s="11"/>
      <c r="BR392" s="11"/>
    </row>
    <row r="393" spans="1:70" ht="15" x14ac:dyDescent="0.25">
      <c r="A393">
        <v>16</v>
      </c>
      <c r="B393" t="s">
        <v>2668</v>
      </c>
      <c r="C393">
        <v>42</v>
      </c>
      <c r="D393" s="128">
        <v>5.5764304391405997</v>
      </c>
      <c r="E393" s="11"/>
      <c r="F393" s="3" t="s">
        <v>561</v>
      </c>
      <c r="G393" s="3">
        <v>1</v>
      </c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</row>
    <row r="394" spans="1:70" ht="15" x14ac:dyDescent="0.25">
      <c r="A394">
        <v>16</v>
      </c>
      <c r="B394" t="s">
        <v>2668</v>
      </c>
      <c r="C394">
        <v>43</v>
      </c>
      <c r="D394" s="128">
        <v>5.7108106051441903</v>
      </c>
      <c r="E394" s="11"/>
      <c r="F394" s="3" t="s">
        <v>562</v>
      </c>
      <c r="G394" s="3">
        <v>1</v>
      </c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  <c r="BO394" s="11"/>
      <c r="BP394" s="11"/>
      <c r="BQ394" s="11"/>
      <c r="BR394" s="11"/>
    </row>
    <row r="395" spans="1:70" ht="15" x14ac:dyDescent="0.25">
      <c r="A395">
        <v>16</v>
      </c>
      <c r="B395" t="s">
        <v>2668</v>
      </c>
      <c r="C395">
        <v>44</v>
      </c>
      <c r="D395" s="128">
        <v>5.8452660573341699</v>
      </c>
      <c r="E395" s="11"/>
      <c r="F395" s="3" t="s">
        <v>563</v>
      </c>
      <c r="G395" s="3">
        <v>1</v>
      </c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  <c r="BO395" s="11"/>
      <c r="BP395" s="11"/>
      <c r="BQ395" s="11"/>
      <c r="BR395" s="11"/>
    </row>
    <row r="396" spans="1:70" ht="15" x14ac:dyDescent="0.25">
      <c r="A396">
        <v>16</v>
      </c>
      <c r="B396" t="s">
        <v>2668</v>
      </c>
      <c r="C396">
        <v>45</v>
      </c>
      <c r="D396" s="128">
        <v>5.9797968296248403</v>
      </c>
      <c r="E396" s="11"/>
      <c r="F396" s="3" t="s">
        <v>564</v>
      </c>
      <c r="G396" s="3">
        <v>1.03E-4</v>
      </c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  <c r="BO396" s="11"/>
      <c r="BP396" s="11"/>
      <c r="BQ396" s="11"/>
      <c r="BR396" s="11"/>
    </row>
    <row r="397" spans="1:70" ht="15" x14ac:dyDescent="0.25">
      <c r="A397">
        <v>16</v>
      </c>
      <c r="B397" t="s">
        <v>2668</v>
      </c>
      <c r="C397">
        <v>46</v>
      </c>
      <c r="D397" s="128">
        <v>6.1144029559457103</v>
      </c>
      <c r="E397" s="11"/>
      <c r="F397" s="3" t="s">
        <v>565</v>
      </c>
      <c r="G397" s="3">
        <v>2.0599999999999999E-4</v>
      </c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  <c r="BO397" s="11"/>
      <c r="BP397" s="11"/>
      <c r="BQ397" s="11"/>
      <c r="BR397" s="11"/>
    </row>
    <row r="398" spans="1:70" ht="15" x14ac:dyDescent="0.25">
      <c r="A398">
        <v>16</v>
      </c>
      <c r="B398" t="s">
        <v>2668</v>
      </c>
      <c r="C398">
        <v>47</v>
      </c>
      <c r="D398" s="128">
        <v>6.2490844702416304</v>
      </c>
      <c r="E398" s="11"/>
      <c r="F398" s="3" t="s">
        <v>566</v>
      </c>
      <c r="G398" s="3">
        <v>0.14282465</v>
      </c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  <c r="BO398" s="11"/>
      <c r="BP398" s="11"/>
      <c r="BQ398" s="11"/>
      <c r="BR398" s="11"/>
    </row>
    <row r="399" spans="1:70" ht="15" x14ac:dyDescent="0.25">
      <c r="A399">
        <v>16</v>
      </c>
      <c r="B399" t="s">
        <v>2668</v>
      </c>
      <c r="C399">
        <v>48</v>
      </c>
      <c r="D399" s="128">
        <v>6.3838414064727198</v>
      </c>
      <c r="E399" s="11"/>
      <c r="F399" s="3" t="s">
        <v>567</v>
      </c>
      <c r="G399" s="3">
        <v>1.2999999999999999E-2</v>
      </c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  <c r="BO399" s="11"/>
      <c r="BP399" s="11"/>
      <c r="BQ399" s="11"/>
      <c r="BR399" s="11"/>
    </row>
    <row r="400" spans="1:70" ht="15" x14ac:dyDescent="0.25">
      <c r="A400">
        <v>16</v>
      </c>
      <c r="B400" t="s">
        <v>2668</v>
      </c>
      <c r="C400">
        <v>49</v>
      </c>
      <c r="D400" s="128">
        <v>6.5186737986144898</v>
      </c>
      <c r="E400" s="11"/>
      <c r="F400" s="3" t="s">
        <v>568</v>
      </c>
      <c r="G400" s="3">
        <v>5.0000000000000001E-4</v>
      </c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  <c r="BO400" s="11"/>
      <c r="BP400" s="11"/>
      <c r="BQ400" s="11"/>
      <c r="BR400" s="11"/>
    </row>
    <row r="401" spans="1:70" ht="15" x14ac:dyDescent="0.25">
      <c r="A401">
        <v>16</v>
      </c>
      <c r="B401" t="s">
        <v>2668</v>
      </c>
      <c r="C401">
        <v>50</v>
      </c>
      <c r="D401" s="128">
        <v>6.6535816806575996</v>
      </c>
      <c r="E401" s="11"/>
      <c r="F401" s="3" t="s">
        <v>569</v>
      </c>
      <c r="G401" s="3">
        <v>2.2000000000000001E-3</v>
      </c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  <c r="BO401" s="11"/>
      <c r="BP401" s="11"/>
      <c r="BQ401" s="11"/>
      <c r="BR401" s="11"/>
    </row>
    <row r="402" spans="1:70" ht="15" x14ac:dyDescent="0.25">
      <c r="A402">
        <v>17</v>
      </c>
      <c r="B402" t="s">
        <v>2669</v>
      </c>
      <c r="C402">
        <v>1</v>
      </c>
      <c r="D402" s="128">
        <v>0.23146432312022</v>
      </c>
      <c r="E402" s="11"/>
      <c r="F402" s="3" t="s">
        <v>570</v>
      </c>
      <c r="G402" s="3">
        <v>6.7999999999999996E-3</v>
      </c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  <c r="BO402" s="11"/>
      <c r="BP402" s="11"/>
      <c r="BQ402" s="11"/>
      <c r="BR402" s="11"/>
    </row>
    <row r="403" spans="1:70" ht="15" x14ac:dyDescent="0.25">
      <c r="A403">
        <v>17</v>
      </c>
      <c r="B403" t="s">
        <v>2669</v>
      </c>
      <c r="C403">
        <v>2</v>
      </c>
      <c r="D403" s="128">
        <v>0.45418383496886</v>
      </c>
      <c r="E403" s="11"/>
      <c r="F403" s="3" t="s">
        <v>571</v>
      </c>
      <c r="G403" s="3">
        <v>2.6100000000000002E-2</v>
      </c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  <c r="BO403" s="11"/>
      <c r="BP403" s="11"/>
      <c r="BQ403" s="11"/>
      <c r="BR403" s="11"/>
    </row>
    <row r="404" spans="1:70" ht="15" x14ac:dyDescent="0.25">
      <c r="A404">
        <v>17</v>
      </c>
      <c r="B404" t="s">
        <v>2669</v>
      </c>
      <c r="C404">
        <v>3</v>
      </c>
      <c r="D404" s="128">
        <v>0.72282086614747998</v>
      </c>
      <c r="E404" s="11"/>
      <c r="F404" s="3" t="s">
        <v>572</v>
      </c>
      <c r="G404" s="3">
        <v>4.0300000000000002E-2</v>
      </c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  <c r="BO404" s="11"/>
      <c r="BP404" s="11"/>
      <c r="BQ404" s="11"/>
      <c r="BR404" s="11"/>
    </row>
    <row r="405" spans="1:70" ht="15" x14ac:dyDescent="0.25">
      <c r="A405">
        <v>17</v>
      </c>
      <c r="B405" t="s">
        <v>2669</v>
      </c>
      <c r="C405">
        <v>4</v>
      </c>
      <c r="D405" s="128">
        <v>1.0274835326065299</v>
      </c>
      <c r="E405" s="11"/>
      <c r="F405" s="3" t="s">
        <v>573</v>
      </c>
      <c r="G405" s="3">
        <v>2.1246300000000002E-3</v>
      </c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  <c r="BO405" s="11"/>
      <c r="BP405" s="11"/>
      <c r="BQ405" s="11"/>
      <c r="BR405" s="11"/>
    </row>
    <row r="406" spans="1:70" ht="15" x14ac:dyDescent="0.25">
      <c r="A406">
        <v>17</v>
      </c>
      <c r="B406" t="s">
        <v>2669</v>
      </c>
      <c r="C406">
        <v>5</v>
      </c>
      <c r="D406" s="128">
        <v>1.3322016801252199</v>
      </c>
      <c r="E406" s="11"/>
      <c r="F406" s="3" t="s">
        <v>574</v>
      </c>
      <c r="G406" s="3">
        <v>1.3948400000000001E-3</v>
      </c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  <c r="BO406" s="11"/>
      <c r="BP406" s="11"/>
      <c r="BQ406" s="11"/>
      <c r="BR406" s="11"/>
    </row>
    <row r="407" spans="1:70" ht="15" x14ac:dyDescent="0.25">
      <c r="A407">
        <v>17</v>
      </c>
      <c r="B407" t="s">
        <v>2669</v>
      </c>
      <c r="C407">
        <v>6</v>
      </c>
      <c r="D407" s="128">
        <v>1.63694790205834</v>
      </c>
      <c r="E407" s="11"/>
      <c r="F407" s="3" t="s">
        <v>575</v>
      </c>
      <c r="G407" s="3">
        <v>3.07018E-3</v>
      </c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  <c r="BO407" s="11"/>
      <c r="BP407" s="11"/>
      <c r="BQ407" s="11"/>
      <c r="BR407" s="11"/>
    </row>
    <row r="408" spans="1:70" ht="15" x14ac:dyDescent="0.25">
      <c r="A408">
        <v>17</v>
      </c>
      <c r="B408" t="s">
        <v>2669</v>
      </c>
      <c r="C408">
        <v>7</v>
      </c>
      <c r="D408" s="128">
        <v>1.9417101912753201</v>
      </c>
      <c r="E408" s="11"/>
      <c r="F408" s="3" t="s">
        <v>576</v>
      </c>
      <c r="G408" s="3">
        <v>4.4445400000000003E-3</v>
      </c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  <c r="BO408" s="11"/>
      <c r="BP408" s="11"/>
      <c r="BQ408" s="11"/>
      <c r="BR408" s="11"/>
    </row>
    <row r="409" spans="1:70" ht="15" x14ac:dyDescent="0.25">
      <c r="A409">
        <v>17</v>
      </c>
      <c r="B409" t="s">
        <v>2669</v>
      </c>
      <c r="C409">
        <v>8</v>
      </c>
      <c r="D409" s="128">
        <v>2.24648267247635</v>
      </c>
      <c r="E409" s="11"/>
      <c r="F409" s="3" t="s">
        <v>577</v>
      </c>
      <c r="G409" s="3">
        <v>7.5560000000000002E-3</v>
      </c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  <c r="BO409" s="11"/>
      <c r="BP409" s="11"/>
      <c r="BQ409" s="11"/>
      <c r="BR409" s="11"/>
    </row>
    <row r="410" spans="1:70" ht="15" x14ac:dyDescent="0.25">
      <c r="A410">
        <v>17</v>
      </c>
      <c r="B410" t="s">
        <v>2669</v>
      </c>
      <c r="C410">
        <v>9</v>
      </c>
      <c r="D410" s="128">
        <v>2.5512619803592198</v>
      </c>
      <c r="E410" s="11"/>
      <c r="F410" s="3" t="s">
        <v>578</v>
      </c>
      <c r="G410" s="3">
        <v>1.3210009999999999E-2</v>
      </c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  <c r="BO410" s="11"/>
      <c r="BP410" s="11"/>
      <c r="BQ410" s="11"/>
      <c r="BR410" s="11"/>
    </row>
    <row r="411" spans="1:70" ht="15" x14ac:dyDescent="0.25">
      <c r="A411">
        <v>17</v>
      </c>
      <c r="B411" t="s">
        <v>2669</v>
      </c>
      <c r="C411">
        <v>10</v>
      </c>
      <c r="D411" s="128">
        <v>2.8560460490874102</v>
      </c>
      <c r="E411" s="11"/>
      <c r="F411" s="3" t="s">
        <v>579</v>
      </c>
      <c r="G411" s="3">
        <v>2.3749880000000001E-2</v>
      </c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  <c r="BO411" s="11"/>
      <c r="BP411" s="11"/>
      <c r="BQ411" s="11"/>
      <c r="BR411" s="11"/>
    </row>
    <row r="412" spans="1:70" ht="15" x14ac:dyDescent="0.25">
      <c r="A412">
        <v>17</v>
      </c>
      <c r="B412" t="s">
        <v>2669</v>
      </c>
      <c r="C412">
        <v>11</v>
      </c>
      <c r="D412" s="128">
        <v>3.1608335778766001</v>
      </c>
      <c r="E412" s="11"/>
      <c r="F412" s="3" t="s">
        <v>580</v>
      </c>
      <c r="G412" s="3">
        <v>4.3910339999999999E-2</v>
      </c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  <c r="BO412" s="11"/>
      <c r="BP412" s="11"/>
      <c r="BQ412" s="11"/>
      <c r="BR412" s="11"/>
    </row>
    <row r="413" spans="1:70" ht="15" x14ac:dyDescent="0.25">
      <c r="A413">
        <v>17</v>
      </c>
      <c r="B413" t="s">
        <v>2669</v>
      </c>
      <c r="C413">
        <v>12</v>
      </c>
      <c r="D413" s="128">
        <v>3.4656237126825</v>
      </c>
      <c r="E413" s="11"/>
      <c r="F413" s="3" t="s">
        <v>581</v>
      </c>
      <c r="G413" s="3">
        <v>8.3487039999999998E-2</v>
      </c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  <c r="BO413" s="11"/>
      <c r="BP413" s="11"/>
      <c r="BQ413" s="11"/>
      <c r="BR413" s="11"/>
    </row>
    <row r="414" spans="1:70" ht="15" x14ac:dyDescent="0.25">
      <c r="A414">
        <v>17</v>
      </c>
      <c r="B414" t="s">
        <v>2669</v>
      </c>
      <c r="C414">
        <v>13</v>
      </c>
      <c r="D414" s="128">
        <v>3.7704157982701001</v>
      </c>
      <c r="E414" s="11"/>
      <c r="F414" s="3" t="s">
        <v>582</v>
      </c>
      <c r="G414" s="3">
        <v>0.16323687000000001</v>
      </c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  <c r="BO414" s="11"/>
      <c r="BP414" s="11"/>
      <c r="BQ414" s="11"/>
      <c r="BR414" s="11"/>
    </row>
    <row r="415" spans="1:70" ht="15" x14ac:dyDescent="0.25">
      <c r="A415">
        <v>17</v>
      </c>
      <c r="B415" t="s">
        <v>2669</v>
      </c>
      <c r="C415">
        <v>14</v>
      </c>
      <c r="D415" s="128">
        <v>4.0752096237360202</v>
      </c>
      <c r="E415" s="11"/>
      <c r="F415" s="3" t="s">
        <v>583</v>
      </c>
      <c r="G415" s="3">
        <v>0.25</v>
      </c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  <c r="BO415" s="11"/>
      <c r="BP415" s="11"/>
      <c r="BQ415" s="11"/>
      <c r="BR415" s="11"/>
    </row>
    <row r="416" spans="1:70" ht="15" x14ac:dyDescent="0.25">
      <c r="A416">
        <v>17</v>
      </c>
      <c r="B416" t="s">
        <v>2669</v>
      </c>
      <c r="C416">
        <v>15</v>
      </c>
      <c r="D416" s="128">
        <v>4.3800046580055003</v>
      </c>
      <c r="E416" s="11"/>
      <c r="F416" s="3" t="s">
        <v>584</v>
      </c>
      <c r="G416" s="3">
        <v>0.35</v>
      </c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  <c r="BO416" s="11"/>
      <c r="BP416" s="11"/>
      <c r="BQ416" s="11"/>
      <c r="BR416" s="11"/>
    </row>
    <row r="417" spans="1:70" ht="15" x14ac:dyDescent="0.25">
      <c r="A417">
        <v>17</v>
      </c>
      <c r="B417" t="s">
        <v>2669</v>
      </c>
      <c r="C417">
        <v>16</v>
      </c>
      <c r="D417" s="128">
        <v>4.6848006417501198</v>
      </c>
      <c r="E417" s="11"/>
      <c r="F417" s="3" t="s">
        <v>585</v>
      </c>
      <c r="G417" s="3">
        <v>1</v>
      </c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  <c r="BO417" s="11"/>
      <c r="BP417" s="11"/>
      <c r="BQ417" s="11"/>
      <c r="BR417" s="11"/>
    </row>
    <row r="418" spans="1:70" ht="15" x14ac:dyDescent="0.25">
      <c r="A418">
        <v>17</v>
      </c>
      <c r="B418" t="s">
        <v>2669</v>
      </c>
      <c r="C418">
        <v>17</v>
      </c>
      <c r="D418" s="128">
        <v>4.9895974963776801</v>
      </c>
      <c r="E418" s="11"/>
      <c r="F418" s="3" t="s">
        <v>586</v>
      </c>
      <c r="G418" s="3">
        <v>1</v>
      </c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  <c r="BO418" s="11"/>
      <c r="BP418" s="11"/>
      <c r="BQ418" s="11"/>
      <c r="BR418" s="11"/>
    </row>
    <row r="419" spans="1:70" ht="15" x14ac:dyDescent="0.25">
      <c r="A419">
        <v>17</v>
      </c>
      <c r="B419" t="s">
        <v>2669</v>
      </c>
      <c r="C419">
        <v>18</v>
      </c>
      <c r="D419" s="128">
        <v>5.2943950560646504</v>
      </c>
      <c r="E419" s="11"/>
      <c r="F419" s="3" t="s">
        <v>587</v>
      </c>
      <c r="G419" s="3">
        <v>1</v>
      </c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  <c r="BO419" s="11"/>
      <c r="BP419" s="11"/>
      <c r="BQ419" s="11"/>
      <c r="BR419" s="11"/>
    </row>
    <row r="420" spans="1:70" ht="15" x14ac:dyDescent="0.25">
      <c r="A420">
        <v>17</v>
      </c>
      <c r="B420" t="s">
        <v>2669</v>
      </c>
      <c r="C420">
        <v>19</v>
      </c>
      <c r="D420" s="128">
        <v>5.5991931845224698</v>
      </c>
      <c r="E420" s="11"/>
      <c r="F420" s="3" t="s">
        <v>588</v>
      </c>
      <c r="G420" s="3">
        <v>1.3948400000000001E-3</v>
      </c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  <c r="BO420" s="11"/>
      <c r="BP420" s="11"/>
      <c r="BQ420" s="11"/>
      <c r="BR420" s="11"/>
    </row>
    <row r="421" spans="1:70" ht="15" x14ac:dyDescent="0.25">
      <c r="A421">
        <v>17</v>
      </c>
      <c r="B421" t="s">
        <v>2669</v>
      </c>
      <c r="C421">
        <v>20</v>
      </c>
      <c r="D421" s="128">
        <v>5.9039919845667104</v>
      </c>
      <c r="E421" s="11"/>
      <c r="F421" s="3" t="s">
        <v>589</v>
      </c>
      <c r="G421" s="3">
        <v>2.1246300000000002E-3</v>
      </c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  <c r="BO421" s="11"/>
      <c r="BP421" s="11"/>
      <c r="BQ421" s="11"/>
      <c r="BR421" s="11"/>
    </row>
    <row r="422" spans="1:70" ht="15" x14ac:dyDescent="0.25">
      <c r="A422">
        <v>17</v>
      </c>
      <c r="B422" t="s">
        <v>2669</v>
      </c>
      <c r="C422">
        <v>21</v>
      </c>
      <c r="D422" s="128">
        <v>6.2087910753458901</v>
      </c>
      <c r="E422" s="11"/>
      <c r="F422" s="3" t="s">
        <v>590</v>
      </c>
      <c r="G422" s="3">
        <v>3.07018E-3</v>
      </c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  <c r="BO422" s="11"/>
      <c r="BP422" s="11"/>
      <c r="BQ422" s="11"/>
      <c r="BR422" s="11"/>
    </row>
    <row r="423" spans="1:70" ht="15" x14ac:dyDescent="0.25">
      <c r="A423">
        <v>17</v>
      </c>
      <c r="B423" t="s">
        <v>2669</v>
      </c>
      <c r="C423">
        <v>22</v>
      </c>
      <c r="D423" s="128">
        <v>6.5135906798110099</v>
      </c>
      <c r="E423" s="11"/>
      <c r="F423" s="3" t="s">
        <v>591</v>
      </c>
      <c r="G423" s="3">
        <v>4.4445400000000003E-3</v>
      </c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  <c r="BO423" s="11"/>
      <c r="BP423" s="11"/>
      <c r="BQ423" s="11"/>
      <c r="BR423" s="11"/>
    </row>
    <row r="424" spans="1:70" ht="15" x14ac:dyDescent="0.25">
      <c r="A424">
        <v>17</v>
      </c>
      <c r="B424" t="s">
        <v>2669</v>
      </c>
      <c r="C424">
        <v>23</v>
      </c>
      <c r="D424" s="128">
        <v>6.8183903488178901</v>
      </c>
      <c r="E424" s="11"/>
      <c r="F424" s="3" t="s">
        <v>592</v>
      </c>
      <c r="G424" s="3">
        <v>7.5560000000000002E-3</v>
      </c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  <c r="BO424" s="11"/>
      <c r="BP424" s="11"/>
      <c r="BQ424" s="11"/>
      <c r="BR424" s="11"/>
    </row>
    <row r="425" spans="1:70" ht="15" x14ac:dyDescent="0.25">
      <c r="A425">
        <v>17</v>
      </c>
      <c r="B425" t="s">
        <v>2669</v>
      </c>
      <c r="C425">
        <v>24</v>
      </c>
      <c r="D425" s="128">
        <v>7.1231906477266502</v>
      </c>
      <c r="E425" s="11"/>
      <c r="F425" s="3" t="s">
        <v>593</v>
      </c>
      <c r="G425" s="3">
        <v>1.3210009999999999E-2</v>
      </c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  <c r="BO425" s="11"/>
      <c r="BP425" s="11"/>
      <c r="BQ425" s="11"/>
      <c r="BR425" s="11"/>
    </row>
    <row r="426" spans="1:70" ht="15" x14ac:dyDescent="0.25">
      <c r="A426">
        <v>17</v>
      </c>
      <c r="B426" t="s">
        <v>2669</v>
      </c>
      <c r="C426">
        <v>25</v>
      </c>
      <c r="D426" s="128">
        <v>7.4279909651245699</v>
      </c>
      <c r="E426" s="11"/>
      <c r="F426" s="3" t="s">
        <v>594</v>
      </c>
      <c r="G426" s="3">
        <v>2.3749880000000001E-2</v>
      </c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  <c r="BO426" s="11"/>
      <c r="BP426" s="11"/>
      <c r="BQ426" s="11"/>
      <c r="BR426" s="11"/>
    </row>
    <row r="427" spans="1:70" ht="15" x14ac:dyDescent="0.25">
      <c r="A427">
        <v>17</v>
      </c>
      <c r="B427" t="s">
        <v>2669</v>
      </c>
      <c r="C427">
        <v>26</v>
      </c>
      <c r="D427" s="128">
        <v>7.7327916156336203</v>
      </c>
      <c r="E427" s="11"/>
      <c r="F427" s="3" t="s">
        <v>595</v>
      </c>
      <c r="G427" s="3">
        <v>4.3910339999999999E-2</v>
      </c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  <c r="BO427" s="11"/>
      <c r="BP427" s="11"/>
      <c r="BQ427" s="11"/>
      <c r="BR427" s="11"/>
    </row>
    <row r="428" spans="1:70" ht="15" x14ac:dyDescent="0.25">
      <c r="A428">
        <v>17</v>
      </c>
      <c r="B428" t="s">
        <v>2669</v>
      </c>
      <c r="C428">
        <v>27</v>
      </c>
      <c r="D428" s="128">
        <v>8.0375922490717695</v>
      </c>
      <c r="E428" s="11"/>
      <c r="F428" s="3" t="s">
        <v>596</v>
      </c>
      <c r="G428" s="3">
        <v>8.3487039999999998E-2</v>
      </c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  <c r="BO428" s="11"/>
      <c r="BP428" s="11"/>
      <c r="BQ428" s="11"/>
      <c r="BR428" s="11"/>
    </row>
    <row r="429" spans="1:70" ht="15" x14ac:dyDescent="0.25">
      <c r="A429">
        <v>17</v>
      </c>
      <c r="B429" t="s">
        <v>2669</v>
      </c>
      <c r="C429">
        <v>28</v>
      </c>
      <c r="D429" s="128">
        <v>8.3423933654519598</v>
      </c>
      <c r="E429" s="11"/>
      <c r="F429" s="3" t="s">
        <v>597</v>
      </c>
      <c r="G429" s="3">
        <v>0.16323687000000001</v>
      </c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  <c r="BO429" s="11"/>
      <c r="BP429" s="11"/>
      <c r="BQ429" s="11"/>
      <c r="BR429" s="11"/>
    </row>
    <row r="430" spans="1:70" ht="15" x14ac:dyDescent="0.25">
      <c r="A430">
        <v>17</v>
      </c>
      <c r="B430" t="s">
        <v>2669</v>
      </c>
      <c r="C430">
        <v>29</v>
      </c>
      <c r="D430" s="128">
        <v>8.6471944946689394</v>
      </c>
      <c r="E430" s="11"/>
      <c r="F430" s="3" t="s">
        <v>598</v>
      </c>
      <c r="G430" s="3">
        <v>0.25</v>
      </c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  <c r="BO430" s="11"/>
      <c r="BP430" s="11"/>
      <c r="BQ430" s="11"/>
      <c r="BR430" s="11"/>
    </row>
    <row r="431" spans="1:70" ht="15" x14ac:dyDescent="0.25">
      <c r="A431">
        <v>17</v>
      </c>
      <c r="B431" t="s">
        <v>2669</v>
      </c>
      <c r="C431">
        <v>30</v>
      </c>
      <c r="D431" s="128">
        <v>8.9519958601814995</v>
      </c>
      <c r="E431" s="11"/>
      <c r="F431" s="3" t="s">
        <v>599</v>
      </c>
      <c r="G431" s="3">
        <v>0.35</v>
      </c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  <c r="BO431" s="11"/>
      <c r="BP431" s="11"/>
      <c r="BQ431" s="11"/>
      <c r="BR431" s="11"/>
    </row>
    <row r="432" spans="1:70" ht="15" x14ac:dyDescent="0.25">
      <c r="A432">
        <v>17</v>
      </c>
      <c r="B432" t="s">
        <v>2669</v>
      </c>
      <c r="C432">
        <v>31</v>
      </c>
      <c r="D432" s="128">
        <v>9.2567971409619094</v>
      </c>
      <c r="E432" s="11"/>
      <c r="F432" s="3" t="s">
        <v>600</v>
      </c>
      <c r="G432" s="3">
        <v>1</v>
      </c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  <c r="BO432" s="11"/>
      <c r="BP432" s="11"/>
      <c r="BQ432" s="11"/>
      <c r="BR432" s="11"/>
    </row>
    <row r="433" spans="1:70" ht="15" x14ac:dyDescent="0.25">
      <c r="A433">
        <v>17</v>
      </c>
      <c r="B433" t="s">
        <v>2669</v>
      </c>
      <c r="C433">
        <v>32</v>
      </c>
      <c r="D433" s="128">
        <v>9.5615985571212097</v>
      </c>
      <c r="E433" s="11"/>
      <c r="F433" s="3" t="s">
        <v>601</v>
      </c>
      <c r="G433" s="3">
        <v>1</v>
      </c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  <c r="BO433" s="11"/>
      <c r="BP433" s="11"/>
      <c r="BQ433" s="11"/>
      <c r="BR433" s="11"/>
    </row>
    <row r="434" spans="1:70" ht="15" x14ac:dyDescent="0.25">
      <c r="A434">
        <v>17</v>
      </c>
      <c r="B434" t="s">
        <v>2669</v>
      </c>
      <c r="C434">
        <v>33</v>
      </c>
      <c r="D434" s="128">
        <v>9.8663999958107098</v>
      </c>
      <c r="E434" s="11"/>
      <c r="F434" s="3" t="s">
        <v>602</v>
      </c>
      <c r="G434" s="3">
        <v>1</v>
      </c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  <c r="BO434" s="11"/>
      <c r="BP434" s="11"/>
      <c r="BQ434" s="11"/>
      <c r="BR434" s="11"/>
    </row>
    <row r="435" spans="1:70" ht="15" x14ac:dyDescent="0.25">
      <c r="A435">
        <v>17</v>
      </c>
      <c r="B435" t="s">
        <v>2669</v>
      </c>
      <c r="C435">
        <v>34</v>
      </c>
      <c r="D435" s="128">
        <v>10.1712021131308</v>
      </c>
      <c r="E435" s="11"/>
      <c r="F435" s="3" t="s">
        <v>603</v>
      </c>
      <c r="G435" s="3">
        <v>4.3910339999999999E-2</v>
      </c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  <c r="BO435" s="11"/>
      <c r="BP435" s="11"/>
      <c r="BQ435" s="11"/>
      <c r="BR435" s="11"/>
    </row>
    <row r="436" spans="1:70" ht="15" x14ac:dyDescent="0.25">
      <c r="A436">
        <v>17</v>
      </c>
      <c r="B436" t="s">
        <v>2669</v>
      </c>
      <c r="C436">
        <v>35</v>
      </c>
      <c r="D436" s="128">
        <v>10.476003716478001</v>
      </c>
      <c r="E436" s="11"/>
      <c r="F436" s="3" t="s">
        <v>604</v>
      </c>
      <c r="G436" s="3">
        <v>2.3749880000000001E-2</v>
      </c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  <c r="BO436" s="11"/>
      <c r="BP436" s="11"/>
      <c r="BQ436" s="11"/>
      <c r="BR436" s="11"/>
    </row>
    <row r="437" spans="1:70" ht="15" x14ac:dyDescent="0.25">
      <c r="A437">
        <v>17</v>
      </c>
      <c r="B437" t="s">
        <v>2669</v>
      </c>
      <c r="C437">
        <v>36</v>
      </c>
      <c r="D437" s="128">
        <v>10.7808055994246</v>
      </c>
      <c r="E437" s="11"/>
      <c r="F437" s="3" t="s">
        <v>605</v>
      </c>
      <c r="G437" s="3">
        <v>0.25</v>
      </c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  <c r="BO437" s="11"/>
      <c r="BP437" s="11"/>
      <c r="BQ437" s="11"/>
      <c r="BR437" s="11"/>
    </row>
    <row r="438" spans="1:70" ht="15" x14ac:dyDescent="0.25">
      <c r="A438">
        <v>17</v>
      </c>
      <c r="B438" t="s">
        <v>2669</v>
      </c>
      <c r="C438">
        <v>37</v>
      </c>
      <c r="D438" s="128">
        <v>11.085607633983299</v>
      </c>
      <c r="E438" s="11"/>
      <c r="F438" s="3" t="s">
        <v>606</v>
      </c>
      <c r="G438" s="3">
        <v>2.0000000000000001E-4</v>
      </c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  <c r="BO438" s="11"/>
      <c r="BP438" s="11"/>
      <c r="BQ438" s="11"/>
      <c r="BR438" s="11"/>
    </row>
    <row r="439" spans="1:70" ht="15" x14ac:dyDescent="0.25">
      <c r="A439">
        <v>17</v>
      </c>
      <c r="B439" t="s">
        <v>2669</v>
      </c>
      <c r="C439">
        <v>38</v>
      </c>
      <c r="D439" s="128">
        <v>11.390409844878</v>
      </c>
      <c r="E439" s="11"/>
      <c r="F439" s="3" t="s">
        <v>607</v>
      </c>
      <c r="G439" s="3">
        <v>1E-4</v>
      </c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  <c r="BO439" s="11"/>
      <c r="BP439" s="11"/>
      <c r="BQ439" s="11"/>
      <c r="BR439" s="11"/>
    </row>
    <row r="440" spans="1:70" ht="15" x14ac:dyDescent="0.25">
      <c r="A440">
        <v>17</v>
      </c>
      <c r="B440" t="s">
        <v>2669</v>
      </c>
      <c r="C440">
        <v>39</v>
      </c>
      <c r="D440" s="128">
        <v>11.695211477915301</v>
      </c>
      <c r="E440" s="11"/>
      <c r="F440" s="3" t="s">
        <v>608</v>
      </c>
      <c r="G440" s="3">
        <v>2.0000000000000001E-4</v>
      </c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  <c r="BO440" s="11"/>
      <c r="BP440" s="11"/>
      <c r="BQ440" s="11"/>
      <c r="BR440" s="11"/>
    </row>
    <row r="441" spans="1:70" ht="15" x14ac:dyDescent="0.25">
      <c r="A441">
        <v>17</v>
      </c>
      <c r="B441" t="s">
        <v>2669</v>
      </c>
      <c r="C441">
        <v>40</v>
      </c>
      <c r="D441" s="128">
        <v>12.0000140532199</v>
      </c>
      <c r="E441" s="11"/>
      <c r="F441" s="3" t="s">
        <v>609</v>
      </c>
      <c r="G441" s="3">
        <v>3.0747000000000001E-4</v>
      </c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  <c r="BO441" s="11"/>
      <c r="BP441" s="11"/>
      <c r="BQ441" s="11"/>
      <c r="BR441" s="11"/>
    </row>
    <row r="442" spans="1:70" ht="15" x14ac:dyDescent="0.25">
      <c r="A442">
        <v>17</v>
      </c>
      <c r="B442" t="s">
        <v>2669</v>
      </c>
      <c r="C442">
        <v>41</v>
      </c>
      <c r="D442" s="128">
        <v>12.305065296060199</v>
      </c>
      <c r="E442" s="11"/>
      <c r="F442" s="3" t="s">
        <v>610</v>
      </c>
      <c r="G442" s="3">
        <v>6.5450000000000003E-4</v>
      </c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  <c r="BO442" s="11"/>
      <c r="BP442" s="11"/>
      <c r="BQ442" s="11"/>
      <c r="BR442" s="11"/>
    </row>
    <row r="443" spans="1:70" ht="15" x14ac:dyDescent="0.25">
      <c r="A443">
        <v>17</v>
      </c>
      <c r="B443" t="s">
        <v>2669</v>
      </c>
      <c r="C443">
        <v>42</v>
      </c>
      <c r="D443" s="128">
        <v>12.610365383442</v>
      </c>
      <c r="E443" s="11"/>
      <c r="F443" s="3" t="s">
        <v>611</v>
      </c>
      <c r="G443" s="3">
        <v>1.3188799999999999E-3</v>
      </c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  <c r="BO443" s="11"/>
      <c r="BP443" s="11"/>
      <c r="BQ443" s="11"/>
      <c r="BR443" s="11"/>
    </row>
    <row r="444" spans="1:70" ht="15" x14ac:dyDescent="0.25">
      <c r="A444">
        <v>17</v>
      </c>
      <c r="B444" t="s">
        <v>2669</v>
      </c>
      <c r="C444">
        <v>43</v>
      </c>
      <c r="D444" s="128">
        <v>12.915914492569399</v>
      </c>
      <c r="E444" s="11"/>
      <c r="F444" s="3" t="s">
        <v>612</v>
      </c>
      <c r="G444" s="3">
        <v>2.51534E-3</v>
      </c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  <c r="BO444" s="11"/>
      <c r="BP444" s="11"/>
      <c r="BQ444" s="11"/>
      <c r="BR444" s="11"/>
    </row>
    <row r="445" spans="1:70" ht="15" x14ac:dyDescent="0.25">
      <c r="A445">
        <v>17</v>
      </c>
      <c r="B445" t="s">
        <v>2669</v>
      </c>
      <c r="C445">
        <v>44</v>
      </c>
      <c r="D445" s="128">
        <v>13.221712800796899</v>
      </c>
      <c r="E445" s="11"/>
      <c r="F445" s="3" t="s">
        <v>613</v>
      </c>
      <c r="G445" s="3">
        <v>4.5389100000000002E-3</v>
      </c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  <c r="BO445" s="11"/>
      <c r="BP445" s="11"/>
      <c r="BQ445" s="11"/>
      <c r="BR445" s="11"/>
    </row>
    <row r="446" spans="1:70" ht="15" x14ac:dyDescent="0.25">
      <c r="A446">
        <v>17</v>
      </c>
      <c r="B446" t="s">
        <v>2669</v>
      </c>
      <c r="C446">
        <v>45</v>
      </c>
      <c r="D446" s="128">
        <v>13.527760485580799</v>
      </c>
      <c r="E446" s="11"/>
      <c r="F446" s="3" t="s">
        <v>614</v>
      </c>
      <c r="G446" s="3">
        <v>7.7466100000000001E-3</v>
      </c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  <c r="BO446" s="11"/>
      <c r="BP446" s="11"/>
      <c r="BQ446" s="11"/>
      <c r="BR446" s="11"/>
    </row>
    <row r="447" spans="1:70" ht="15" x14ac:dyDescent="0.25">
      <c r="A447">
        <v>17</v>
      </c>
      <c r="B447" t="s">
        <v>2669</v>
      </c>
      <c r="C447">
        <v>46</v>
      </c>
      <c r="D447" s="128">
        <v>13.834057724609799</v>
      </c>
      <c r="E447" s="11"/>
      <c r="F447" s="3" t="s">
        <v>615</v>
      </c>
      <c r="G447" s="3">
        <v>1.250009E-2</v>
      </c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  <c r="BO447" s="11"/>
      <c r="BP447" s="11"/>
      <c r="BQ447" s="11"/>
      <c r="BR447" s="11"/>
    </row>
    <row r="448" spans="1:70" ht="15" x14ac:dyDescent="0.25">
      <c r="A448">
        <v>17</v>
      </c>
      <c r="B448" t="s">
        <v>2669</v>
      </c>
      <c r="C448">
        <v>47</v>
      </c>
      <c r="D448" s="128">
        <v>14.140604695487401</v>
      </c>
      <c r="E448" s="11"/>
      <c r="F448" s="3" t="s">
        <v>616</v>
      </c>
      <c r="G448" s="3">
        <v>1.9064649999999999E-2</v>
      </c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  <c r="BO448" s="11"/>
      <c r="BP448" s="11"/>
      <c r="BQ448" s="11"/>
      <c r="BR448" s="11"/>
    </row>
    <row r="449" spans="1:70" ht="15" x14ac:dyDescent="0.25">
      <c r="A449">
        <v>17</v>
      </c>
      <c r="B449" t="s">
        <v>2669</v>
      </c>
      <c r="C449">
        <v>48</v>
      </c>
      <c r="D449" s="128">
        <v>14.4474015761948</v>
      </c>
      <c r="E449" s="11"/>
      <c r="F449" s="3" t="s">
        <v>617</v>
      </c>
      <c r="G449" s="3">
        <v>2.7480460000000002E-2</v>
      </c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  <c r="BO449" s="11"/>
      <c r="BP449" s="11"/>
      <c r="BQ449" s="11"/>
      <c r="BR449" s="11"/>
    </row>
    <row r="450" spans="1:70" ht="15" x14ac:dyDescent="0.25">
      <c r="A450">
        <v>17</v>
      </c>
      <c r="B450" t="s">
        <v>2669</v>
      </c>
      <c r="C450">
        <v>49</v>
      </c>
      <c r="D450" s="128">
        <v>14.7544485448479</v>
      </c>
      <c r="E450" s="11"/>
      <c r="F450" s="3" t="s">
        <v>618</v>
      </c>
      <c r="G450" s="3">
        <v>3.7446630000000002E-2</v>
      </c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  <c r="BO450" s="11"/>
      <c r="BP450" s="11"/>
      <c r="BQ450" s="11"/>
      <c r="BR450" s="11"/>
    </row>
    <row r="451" spans="1:70" ht="15" x14ac:dyDescent="0.25">
      <c r="A451">
        <v>17</v>
      </c>
      <c r="B451" t="s">
        <v>2669</v>
      </c>
      <c r="C451">
        <v>50</v>
      </c>
      <c r="D451" s="128">
        <v>15.061745779895899</v>
      </c>
      <c r="E451" s="11"/>
      <c r="F451" s="3" t="s">
        <v>619</v>
      </c>
      <c r="G451" s="3">
        <v>4.8271250000000002E-2</v>
      </c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  <c r="BO451" s="11"/>
      <c r="BP451" s="11"/>
      <c r="BQ451" s="11"/>
      <c r="BR451" s="11"/>
    </row>
    <row r="452" spans="1:70" ht="15" x14ac:dyDescent="0.25">
      <c r="A452">
        <v>18</v>
      </c>
      <c r="B452" t="s">
        <v>2670</v>
      </c>
      <c r="C452">
        <v>1</v>
      </c>
      <c r="D452" s="128">
        <v>0.28768207245178001</v>
      </c>
      <c r="E452" s="11"/>
      <c r="F452" s="3" t="s">
        <v>620</v>
      </c>
      <c r="G452" s="3">
        <v>5.8926600000000003E-2</v>
      </c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  <c r="BO452" s="11"/>
      <c r="BP452" s="11"/>
      <c r="BQ452" s="11"/>
      <c r="BR452" s="11"/>
    </row>
    <row r="453" spans="1:70" ht="15" x14ac:dyDescent="0.25">
      <c r="A453">
        <v>18</v>
      </c>
      <c r="B453" t="s">
        <v>2670</v>
      </c>
      <c r="C453">
        <v>2</v>
      </c>
      <c r="D453" s="128">
        <v>0.57536414490356003</v>
      </c>
      <c r="E453" s="11"/>
      <c r="F453" s="3" t="s">
        <v>621</v>
      </c>
      <c r="G453" s="3">
        <v>2.1246300000000002E-3</v>
      </c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  <c r="BO453" s="11"/>
      <c r="BP453" s="11"/>
      <c r="BQ453" s="11"/>
      <c r="BR453" s="11"/>
    </row>
    <row r="454" spans="1:70" ht="15" x14ac:dyDescent="0.25">
      <c r="A454">
        <v>18</v>
      </c>
      <c r="B454" t="s">
        <v>2670</v>
      </c>
      <c r="C454">
        <v>3</v>
      </c>
      <c r="D454" s="128">
        <v>0.86624317621890001</v>
      </c>
      <c r="E454" s="11"/>
      <c r="F454" s="3" t="s">
        <v>622</v>
      </c>
      <c r="G454" s="3">
        <v>1.3948400000000001E-3</v>
      </c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  <c r="BO454" s="11"/>
      <c r="BP454" s="11"/>
      <c r="BQ454" s="11"/>
      <c r="BR454" s="11"/>
    </row>
    <row r="455" spans="1:70" ht="15" x14ac:dyDescent="0.25">
      <c r="A455">
        <v>18</v>
      </c>
      <c r="B455" t="s">
        <v>2670</v>
      </c>
      <c r="C455">
        <v>4</v>
      </c>
      <c r="D455" s="128">
        <v>1.15712220753423</v>
      </c>
      <c r="E455" s="11"/>
      <c r="F455" s="3" t="s">
        <v>623</v>
      </c>
      <c r="G455" s="3">
        <v>2.1246300000000002E-3</v>
      </c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  <c r="BO455" s="11"/>
      <c r="BP455" s="11"/>
      <c r="BQ455" s="11"/>
      <c r="BR455" s="11"/>
    </row>
    <row r="456" spans="1:70" ht="15" x14ac:dyDescent="0.25">
      <c r="A456">
        <v>18</v>
      </c>
      <c r="B456" t="s">
        <v>2670</v>
      </c>
      <c r="C456">
        <v>5</v>
      </c>
      <c r="D456" s="128">
        <v>1.44790825362562</v>
      </c>
      <c r="E456" s="11"/>
      <c r="F456" s="3" t="s">
        <v>624</v>
      </c>
      <c r="G456" s="3">
        <v>3.07018E-3</v>
      </c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  <c r="BO456" s="11"/>
      <c r="BP456" s="11"/>
      <c r="BQ456" s="11"/>
      <c r="BR456" s="11"/>
    </row>
    <row r="457" spans="1:70" ht="15" x14ac:dyDescent="0.25">
      <c r="A457">
        <v>18</v>
      </c>
      <c r="B457" t="s">
        <v>2670</v>
      </c>
      <c r="C457">
        <v>6</v>
      </c>
      <c r="D457" s="128">
        <v>1.7386942997170201</v>
      </c>
      <c r="E457" s="11"/>
      <c r="F457" s="3" t="s">
        <v>625</v>
      </c>
      <c r="G457" s="3">
        <v>4.4445400000000003E-3</v>
      </c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  <c r="BO457" s="11"/>
      <c r="BP457" s="11"/>
      <c r="BQ457" s="11"/>
      <c r="BR457" s="11"/>
    </row>
    <row r="458" spans="1:70" ht="15" x14ac:dyDescent="0.25">
      <c r="A458">
        <v>18</v>
      </c>
      <c r="B458" t="s">
        <v>2670</v>
      </c>
      <c r="C458">
        <v>7</v>
      </c>
      <c r="D458" s="128">
        <v>2.02937061232321</v>
      </c>
      <c r="E458" s="11"/>
      <c r="F458" s="3" t="s">
        <v>626</v>
      </c>
      <c r="G458" s="3">
        <v>7.5560000000000002E-3</v>
      </c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  <c r="BO458" s="11"/>
      <c r="BP458" s="11"/>
      <c r="BQ458" s="11"/>
      <c r="BR458" s="11"/>
    </row>
    <row r="459" spans="1:70" ht="15" x14ac:dyDescent="0.25">
      <c r="A459">
        <v>18</v>
      </c>
      <c r="B459" t="s">
        <v>2670</v>
      </c>
      <c r="C459">
        <v>8</v>
      </c>
      <c r="D459" s="128">
        <v>2.32004692492939</v>
      </c>
      <c r="E459" s="11"/>
      <c r="F459" s="3" t="s">
        <v>627</v>
      </c>
      <c r="G459" s="3">
        <v>1.3210009999999999E-2</v>
      </c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  <c r="BO459" s="11"/>
      <c r="BP459" s="11"/>
      <c r="BQ459" s="11"/>
      <c r="BR459" s="11"/>
    </row>
    <row r="460" spans="1:70" ht="15" x14ac:dyDescent="0.25">
      <c r="A460">
        <v>18</v>
      </c>
      <c r="B460" t="s">
        <v>2670</v>
      </c>
      <c r="C460">
        <v>9</v>
      </c>
      <c r="D460" s="128">
        <v>2.61072323753557</v>
      </c>
      <c r="E460" s="11"/>
      <c r="F460" s="3" t="s">
        <v>628</v>
      </c>
      <c r="G460" s="3">
        <v>2.3749880000000001E-2</v>
      </c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  <c r="BO460" s="11"/>
      <c r="BP460" s="11"/>
      <c r="BQ460" s="11"/>
      <c r="BR460" s="11"/>
    </row>
    <row r="461" spans="1:70" ht="15" x14ac:dyDescent="0.25">
      <c r="A461">
        <v>18</v>
      </c>
      <c r="B461" t="s">
        <v>2670</v>
      </c>
      <c r="C461">
        <v>10</v>
      </c>
      <c r="D461" s="128">
        <v>2.9012749693320501</v>
      </c>
      <c r="E461" s="11"/>
      <c r="F461" s="3" t="s">
        <v>629</v>
      </c>
      <c r="G461" s="3">
        <v>4.3910339999999999E-2</v>
      </c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  <c r="BO461" s="11"/>
      <c r="BP461" s="11"/>
      <c r="BQ461" s="11"/>
      <c r="BR461" s="11"/>
    </row>
    <row r="462" spans="1:70" ht="15" x14ac:dyDescent="0.25">
      <c r="A462">
        <v>18</v>
      </c>
      <c r="B462" t="s">
        <v>2670</v>
      </c>
      <c r="C462">
        <v>11</v>
      </c>
      <c r="D462" s="128">
        <v>3.19182670112852</v>
      </c>
      <c r="E462" s="11"/>
      <c r="F462" s="3" t="s">
        <v>630</v>
      </c>
      <c r="G462" s="3">
        <v>8.3487039999999998E-2</v>
      </c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  <c r="BO462" s="11"/>
      <c r="BP462" s="11"/>
      <c r="BQ462" s="11"/>
      <c r="BR462" s="11"/>
    </row>
    <row r="463" spans="1:70" ht="15" x14ac:dyDescent="0.25">
      <c r="A463">
        <v>18</v>
      </c>
      <c r="B463" t="s">
        <v>2670</v>
      </c>
      <c r="C463">
        <v>12</v>
      </c>
      <c r="D463" s="128">
        <v>3.482378432925</v>
      </c>
      <c r="E463" s="11"/>
      <c r="F463" s="3" t="s">
        <v>631</v>
      </c>
      <c r="G463" s="3">
        <v>0.16323687000000001</v>
      </c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  <c r="BO463" s="11"/>
      <c r="BP463" s="11"/>
      <c r="BQ463" s="11"/>
      <c r="BR463" s="11"/>
    </row>
    <row r="464" spans="1:70" ht="15" x14ac:dyDescent="0.25">
      <c r="A464">
        <v>18</v>
      </c>
      <c r="B464" t="s">
        <v>2670</v>
      </c>
      <c r="C464">
        <v>13</v>
      </c>
      <c r="D464" s="128">
        <v>3.7729301647214601</v>
      </c>
      <c r="E464" s="11"/>
      <c r="F464" s="3" t="s">
        <v>632</v>
      </c>
      <c r="G464" s="3">
        <v>0.25</v>
      </c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  <c r="BO464" s="11"/>
      <c r="BP464" s="11"/>
      <c r="BQ464" s="11"/>
      <c r="BR464" s="11"/>
    </row>
    <row r="465" spans="1:70" ht="15" x14ac:dyDescent="0.25">
      <c r="A465">
        <v>18</v>
      </c>
      <c r="B465" t="s">
        <v>2670</v>
      </c>
      <c r="C465">
        <v>14</v>
      </c>
      <c r="D465" s="128">
        <v>4.06348189651791</v>
      </c>
      <c r="E465" s="11"/>
      <c r="F465" s="3" t="s">
        <v>633</v>
      </c>
      <c r="G465" s="3">
        <v>0.35</v>
      </c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  <c r="BO465" s="11"/>
      <c r="BP465" s="11"/>
      <c r="BQ465" s="11"/>
      <c r="BR465" s="11"/>
    </row>
    <row r="466" spans="1:70" ht="15" x14ac:dyDescent="0.25">
      <c r="A466">
        <v>18</v>
      </c>
      <c r="B466" t="s">
        <v>2670</v>
      </c>
      <c r="C466">
        <v>15</v>
      </c>
      <c r="D466" s="128">
        <v>4.3540336283143697</v>
      </c>
      <c r="E466" s="11"/>
      <c r="F466" s="3" t="s">
        <v>634</v>
      </c>
      <c r="G466" s="3">
        <v>1</v>
      </c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  <c r="BO466" s="11"/>
      <c r="BP466" s="11"/>
      <c r="BQ466" s="11"/>
      <c r="BR466" s="11"/>
    </row>
    <row r="467" spans="1:70" ht="15" x14ac:dyDescent="0.25">
      <c r="A467">
        <v>18</v>
      </c>
      <c r="B467" t="s">
        <v>2670</v>
      </c>
      <c r="C467">
        <v>16</v>
      </c>
      <c r="D467" s="128">
        <v>4.6445853601108302</v>
      </c>
      <c r="E467" s="11"/>
      <c r="F467" s="3" t="s">
        <v>635</v>
      </c>
      <c r="G467" s="3">
        <v>1</v>
      </c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  <c r="BO467" s="11"/>
      <c r="BP467" s="11"/>
      <c r="BQ467" s="11"/>
      <c r="BR467" s="11"/>
    </row>
    <row r="468" spans="1:70" ht="15" x14ac:dyDescent="0.25">
      <c r="A468">
        <v>18</v>
      </c>
      <c r="B468" t="s">
        <v>2670</v>
      </c>
      <c r="C468">
        <v>17</v>
      </c>
      <c r="D468" s="128">
        <v>4.9351370919073503</v>
      </c>
      <c r="E468" s="11"/>
      <c r="F468" s="3" t="s">
        <v>636</v>
      </c>
      <c r="G468" s="3">
        <v>1</v>
      </c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  <c r="BO468" s="11"/>
      <c r="BP468" s="11"/>
      <c r="BQ468" s="11"/>
      <c r="BR468" s="11"/>
    </row>
    <row r="469" spans="1:70" ht="15" x14ac:dyDescent="0.25">
      <c r="A469">
        <v>18</v>
      </c>
      <c r="B469" t="s">
        <v>2670</v>
      </c>
      <c r="C469">
        <v>18</v>
      </c>
      <c r="D469" s="128">
        <v>5.2256888237037797</v>
      </c>
      <c r="E469" s="11"/>
      <c r="F469" s="3" t="s">
        <v>637</v>
      </c>
      <c r="G469" s="3">
        <v>1.03E-4</v>
      </c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  <c r="BO469" s="11"/>
      <c r="BP469" s="11"/>
      <c r="BQ469" s="11"/>
      <c r="BR469" s="11"/>
    </row>
    <row r="470" spans="1:70" ht="15" x14ac:dyDescent="0.25">
      <c r="A470">
        <v>18</v>
      </c>
      <c r="B470" t="s">
        <v>2670</v>
      </c>
      <c r="C470">
        <v>19</v>
      </c>
      <c r="D470" s="128">
        <v>5.5162405555003797</v>
      </c>
      <c r="E470" s="11"/>
      <c r="F470" s="3" t="s">
        <v>638</v>
      </c>
      <c r="G470" s="3">
        <v>2.0599999999999999E-4</v>
      </c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  <c r="BO470" s="11"/>
      <c r="BP470" s="11"/>
      <c r="BQ470" s="11"/>
      <c r="BR470" s="11"/>
    </row>
    <row r="471" spans="1:70" ht="15" x14ac:dyDescent="0.25">
      <c r="A471">
        <v>18</v>
      </c>
      <c r="B471" t="s">
        <v>2670</v>
      </c>
      <c r="C471">
        <v>20</v>
      </c>
      <c r="D471" s="128">
        <v>5.80679228729689</v>
      </c>
      <c r="E471" s="11"/>
      <c r="F471" s="3" t="s">
        <v>639</v>
      </c>
      <c r="G471" s="3">
        <v>3.0899999999999998E-4</v>
      </c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  <c r="BO471" s="11"/>
      <c r="BP471" s="11"/>
      <c r="BQ471" s="11"/>
      <c r="BR471" s="11"/>
    </row>
    <row r="472" spans="1:70" ht="15" x14ac:dyDescent="0.25">
      <c r="A472">
        <v>18</v>
      </c>
      <c r="B472" t="s">
        <v>2670</v>
      </c>
      <c r="C472">
        <v>21</v>
      </c>
      <c r="D472" s="128">
        <v>6.0973440190932298</v>
      </c>
      <c r="E472" s="11"/>
      <c r="F472" s="3" t="s">
        <v>640</v>
      </c>
      <c r="G472" s="3">
        <v>4.1199999999999999E-4</v>
      </c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  <c r="BO472" s="11"/>
      <c r="BP472" s="11"/>
      <c r="BQ472" s="11"/>
      <c r="BR472" s="11"/>
    </row>
    <row r="473" spans="1:70" ht="15" x14ac:dyDescent="0.25">
      <c r="A473">
        <v>18</v>
      </c>
      <c r="B473" t="s">
        <v>2670</v>
      </c>
      <c r="C473">
        <v>22</v>
      </c>
      <c r="D473" s="128">
        <v>6.3878957508895704</v>
      </c>
      <c r="E473" s="11"/>
      <c r="F473" s="3" t="s">
        <v>641</v>
      </c>
      <c r="G473" s="3">
        <v>5.1500000000000005E-4</v>
      </c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  <c r="BO473" s="11"/>
      <c r="BP473" s="11"/>
      <c r="BQ473" s="11"/>
      <c r="BR473" s="11"/>
    </row>
    <row r="474" spans="1:70" ht="15" x14ac:dyDescent="0.25">
      <c r="A474">
        <v>18</v>
      </c>
      <c r="B474" t="s">
        <v>2670</v>
      </c>
      <c r="C474">
        <v>23</v>
      </c>
      <c r="D474" s="128">
        <v>6.6784474826859697</v>
      </c>
      <c r="E474" s="11"/>
      <c r="F474" s="3" t="s">
        <v>642</v>
      </c>
      <c r="G474" s="3">
        <v>6.2074999999999999E-4</v>
      </c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  <c r="BO474" s="11"/>
      <c r="BP474" s="11"/>
      <c r="BQ474" s="11"/>
      <c r="BR474" s="11"/>
    </row>
    <row r="475" spans="1:70" ht="15" x14ac:dyDescent="0.25">
      <c r="A475">
        <v>18</v>
      </c>
      <c r="B475" t="s">
        <v>2670</v>
      </c>
      <c r="C475">
        <v>24</v>
      </c>
      <c r="D475" s="128">
        <v>6.9689992144830999</v>
      </c>
      <c r="E475" s="11"/>
      <c r="F475" s="3" t="s">
        <v>643</v>
      </c>
      <c r="G475" s="3">
        <v>9.1759000000000003E-4</v>
      </c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  <c r="BO475" s="11"/>
      <c r="BP475" s="11"/>
      <c r="BQ475" s="11"/>
      <c r="BR475" s="11"/>
    </row>
    <row r="476" spans="1:70" ht="15" x14ac:dyDescent="0.25">
      <c r="A476">
        <v>18</v>
      </c>
      <c r="B476" t="s">
        <v>2670</v>
      </c>
      <c r="C476">
        <v>25</v>
      </c>
      <c r="D476" s="128">
        <v>7.2595509462794201</v>
      </c>
      <c r="E476" s="11"/>
      <c r="F476" s="3" t="s">
        <v>644</v>
      </c>
      <c r="G476" s="3">
        <v>1.3948400000000001E-3</v>
      </c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  <c r="BO476" s="11"/>
      <c r="BP476" s="11"/>
      <c r="BQ476" s="11"/>
      <c r="BR476" s="11"/>
    </row>
    <row r="477" spans="1:70" ht="15" x14ac:dyDescent="0.25">
      <c r="A477">
        <v>18</v>
      </c>
      <c r="B477" t="s">
        <v>2670</v>
      </c>
      <c r="C477">
        <v>26</v>
      </c>
      <c r="D477" s="128">
        <v>7.5501026780754703</v>
      </c>
      <c r="E477" s="11"/>
      <c r="F477" s="3" t="s">
        <v>645</v>
      </c>
      <c r="G477" s="3">
        <v>2.1246300000000002E-3</v>
      </c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  <c r="BO477" s="11"/>
      <c r="BP477" s="11"/>
      <c r="BQ477" s="11"/>
      <c r="BR477" s="11"/>
    </row>
    <row r="478" spans="1:70" ht="15" x14ac:dyDescent="0.25">
      <c r="A478">
        <v>18</v>
      </c>
      <c r="B478" t="s">
        <v>2670</v>
      </c>
      <c r="C478">
        <v>27</v>
      </c>
      <c r="D478" s="128">
        <v>7.8406544098719104</v>
      </c>
      <c r="E478" s="11"/>
      <c r="F478" s="3" t="s">
        <v>646</v>
      </c>
      <c r="G478" s="3">
        <v>3.07018E-3</v>
      </c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  <c r="BO478" s="11"/>
      <c r="BP478" s="11"/>
      <c r="BQ478" s="11"/>
      <c r="BR478" s="11"/>
    </row>
    <row r="479" spans="1:70" ht="15" x14ac:dyDescent="0.25">
      <c r="A479">
        <v>18</v>
      </c>
      <c r="B479" t="s">
        <v>2670</v>
      </c>
      <c r="C479">
        <v>28</v>
      </c>
      <c r="D479" s="128">
        <v>8.1312061416687893</v>
      </c>
      <c r="E479" s="11"/>
      <c r="F479" s="3" t="s">
        <v>647</v>
      </c>
      <c r="G479" s="3">
        <v>4.4445400000000003E-3</v>
      </c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  <c r="BO479" s="11"/>
      <c r="BP479" s="11"/>
      <c r="BQ479" s="11"/>
      <c r="BR479" s="11"/>
    </row>
    <row r="480" spans="1:70" ht="15" x14ac:dyDescent="0.25">
      <c r="A480">
        <v>18</v>
      </c>
      <c r="B480" t="s">
        <v>2670</v>
      </c>
      <c r="C480">
        <v>29</v>
      </c>
      <c r="D480" s="128">
        <v>8.4217578734646104</v>
      </c>
      <c r="E480" s="11"/>
      <c r="F480" s="3" t="s">
        <v>648</v>
      </c>
      <c r="G480" s="3">
        <v>7.5560000000000002E-3</v>
      </c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  <c r="BO480" s="11"/>
      <c r="BP480" s="11"/>
      <c r="BQ480" s="11"/>
      <c r="BR480" s="11"/>
    </row>
    <row r="481" spans="1:70" ht="15" x14ac:dyDescent="0.25">
      <c r="A481">
        <v>18</v>
      </c>
      <c r="B481" t="s">
        <v>2670</v>
      </c>
      <c r="C481">
        <v>30</v>
      </c>
      <c r="D481" s="128">
        <v>8.7123096052614901</v>
      </c>
      <c r="E481" s="11"/>
      <c r="F481" s="3" t="s">
        <v>649</v>
      </c>
      <c r="G481" s="3">
        <v>1.3210009999999999E-2</v>
      </c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  <c r="BO481" s="11"/>
      <c r="BP481" s="11"/>
      <c r="BQ481" s="11"/>
      <c r="BR481" s="11"/>
    </row>
    <row r="482" spans="1:70" ht="15" x14ac:dyDescent="0.25">
      <c r="A482">
        <v>18</v>
      </c>
      <c r="B482" t="s">
        <v>2670</v>
      </c>
      <c r="C482">
        <v>31</v>
      </c>
      <c r="D482" s="128">
        <v>9.0028613370570891</v>
      </c>
      <c r="E482" s="11"/>
      <c r="F482" s="3" t="s">
        <v>650</v>
      </c>
      <c r="G482" s="3">
        <v>2.3749880000000001E-2</v>
      </c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  <c r="BO482" s="11"/>
      <c r="BP482" s="11"/>
      <c r="BQ482" s="11"/>
      <c r="BR482" s="11"/>
    </row>
    <row r="483" spans="1:70" ht="15" x14ac:dyDescent="0.25">
      <c r="A483">
        <v>18</v>
      </c>
      <c r="B483" t="s">
        <v>2670</v>
      </c>
      <c r="C483">
        <v>32</v>
      </c>
      <c r="D483" s="128">
        <v>9.2934130688508105</v>
      </c>
      <c r="E483" s="11"/>
      <c r="F483" s="3" t="s">
        <v>651</v>
      </c>
      <c r="G483" s="3">
        <v>4.3910339999999999E-2</v>
      </c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  <c r="BO483" s="11"/>
      <c r="BP483" s="11"/>
      <c r="BQ483" s="11"/>
      <c r="BR483" s="11"/>
    </row>
    <row r="484" spans="1:70" ht="15" x14ac:dyDescent="0.25">
      <c r="A484">
        <v>18</v>
      </c>
      <c r="B484" t="s">
        <v>2670</v>
      </c>
      <c r="C484">
        <v>33</v>
      </c>
      <c r="D484" s="128">
        <v>9.5839648006455693</v>
      </c>
      <c r="E484" s="11"/>
      <c r="F484" s="3" t="s">
        <v>652</v>
      </c>
      <c r="G484" s="3">
        <v>8.3487039999999998E-2</v>
      </c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  <c r="BO484" s="11"/>
      <c r="BP484" s="11"/>
      <c r="BQ484" s="11"/>
      <c r="BR484" s="11"/>
    </row>
    <row r="485" spans="1:70" ht="15" x14ac:dyDescent="0.25">
      <c r="A485">
        <v>18</v>
      </c>
      <c r="B485" t="s">
        <v>2670</v>
      </c>
      <c r="C485">
        <v>34</v>
      </c>
      <c r="D485" s="128">
        <v>9.8745165324418505</v>
      </c>
      <c r="E485" s="11"/>
      <c r="F485" s="3" t="s">
        <v>653</v>
      </c>
      <c r="G485" s="3">
        <v>0.16323687000000001</v>
      </c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  <c r="BO485" s="11"/>
      <c r="BP485" s="11"/>
      <c r="BQ485" s="11"/>
      <c r="BR485" s="11"/>
    </row>
    <row r="486" spans="1:70" ht="15" x14ac:dyDescent="0.25">
      <c r="A486">
        <v>18</v>
      </c>
      <c r="B486" t="s">
        <v>2670</v>
      </c>
      <c r="C486">
        <v>35</v>
      </c>
      <c r="D486" s="128">
        <v>10.165068264243899</v>
      </c>
      <c r="E486" s="11"/>
      <c r="F486" s="3" t="s">
        <v>654</v>
      </c>
      <c r="G486" s="3">
        <v>0.25</v>
      </c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  <c r="BO486" s="11"/>
      <c r="BP486" s="11"/>
      <c r="BQ486" s="11"/>
      <c r="BR486" s="11"/>
    </row>
    <row r="487" spans="1:70" ht="15" x14ac:dyDescent="0.25">
      <c r="A487">
        <v>18</v>
      </c>
      <c r="B487" t="s">
        <v>2670</v>
      </c>
      <c r="C487">
        <v>36</v>
      </c>
      <c r="D487" s="128">
        <v>10.455619996039299</v>
      </c>
      <c r="E487" s="11"/>
      <c r="F487" s="3" t="s">
        <v>655</v>
      </c>
      <c r="G487" s="3">
        <v>0.35</v>
      </c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  <c r="BO487" s="11"/>
      <c r="BP487" s="11"/>
      <c r="BQ487" s="11"/>
      <c r="BR487" s="11"/>
    </row>
    <row r="488" spans="1:70" ht="15" x14ac:dyDescent="0.25">
      <c r="A488">
        <v>18</v>
      </c>
      <c r="B488" t="s">
        <v>2670</v>
      </c>
      <c r="C488">
        <v>37</v>
      </c>
      <c r="D488" s="128">
        <v>10.746171727854501</v>
      </c>
      <c r="E488" s="11"/>
      <c r="F488" s="3" t="s">
        <v>656</v>
      </c>
      <c r="G488" s="3">
        <v>1</v>
      </c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  <c r="BO488" s="11"/>
      <c r="BP488" s="11"/>
      <c r="BQ488" s="11"/>
      <c r="BR488" s="11"/>
    </row>
    <row r="489" spans="1:70" ht="15" x14ac:dyDescent="0.25">
      <c r="A489">
        <v>18</v>
      </c>
      <c r="B489" t="s">
        <v>2670</v>
      </c>
      <c r="C489">
        <v>38</v>
      </c>
      <c r="D489" s="128">
        <v>11.0367234596605</v>
      </c>
      <c r="E489" s="11"/>
      <c r="F489" s="3" t="s">
        <v>657</v>
      </c>
      <c r="G489" s="3">
        <v>1</v>
      </c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  <c r="BO489" s="11"/>
      <c r="BP489" s="11"/>
      <c r="BQ489" s="11"/>
      <c r="BR489" s="11"/>
    </row>
    <row r="490" spans="1:70" ht="15" x14ac:dyDescent="0.25">
      <c r="A490">
        <v>18</v>
      </c>
      <c r="B490" t="s">
        <v>2670</v>
      </c>
      <c r="C490">
        <v>39</v>
      </c>
      <c r="D490" s="128">
        <v>11.327275191426599</v>
      </c>
      <c r="E490" s="11"/>
      <c r="F490" s="3" t="s">
        <v>658</v>
      </c>
      <c r="G490" s="3">
        <v>1</v>
      </c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  <c r="BO490" s="11"/>
      <c r="BP490" s="11"/>
      <c r="BQ490" s="11"/>
      <c r="BR490" s="11"/>
    </row>
    <row r="491" spans="1:70" ht="15" x14ac:dyDescent="0.25">
      <c r="A491">
        <v>18</v>
      </c>
      <c r="B491" t="s">
        <v>2670</v>
      </c>
      <c r="C491">
        <v>40</v>
      </c>
      <c r="D491" s="128">
        <v>11.6178269232374</v>
      </c>
      <c r="E491" s="11"/>
      <c r="F491" s="3" t="s">
        <v>659</v>
      </c>
      <c r="G491" s="3">
        <v>7.6399999999999996E-2</v>
      </c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  <c r="BO491" s="11"/>
      <c r="BP491" s="11"/>
      <c r="BQ491" s="11"/>
      <c r="BR491" s="11"/>
    </row>
    <row r="492" spans="1:70" ht="15" x14ac:dyDescent="0.25">
      <c r="A492">
        <v>19</v>
      </c>
      <c r="B492" t="s">
        <v>2671</v>
      </c>
      <c r="C492">
        <v>1</v>
      </c>
      <c r="D492" s="128">
        <v>0.43078291609245001</v>
      </c>
      <c r="E492" s="11"/>
      <c r="F492" s="3" t="s">
        <v>660</v>
      </c>
      <c r="G492" s="3">
        <v>0.1174</v>
      </c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  <c r="BO492" s="11"/>
      <c r="BP492" s="11"/>
      <c r="BQ492" s="11"/>
      <c r="BR492" s="11"/>
    </row>
    <row r="493" spans="1:70" ht="15" x14ac:dyDescent="0.25">
      <c r="A493">
        <v>19</v>
      </c>
      <c r="B493" t="s">
        <v>2671</v>
      </c>
      <c r="C493">
        <v>2</v>
      </c>
      <c r="D493" s="128">
        <v>0.86156583218491001</v>
      </c>
      <c r="E493" s="11"/>
      <c r="F493" s="3" t="s">
        <v>661</v>
      </c>
      <c r="G493" s="3">
        <v>0.1953</v>
      </c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  <c r="BO493" s="11"/>
      <c r="BP493" s="11"/>
      <c r="BQ493" s="11"/>
      <c r="BR493" s="11"/>
    </row>
    <row r="494" spans="1:70" ht="15" x14ac:dyDescent="0.25">
      <c r="A494">
        <v>19</v>
      </c>
      <c r="B494" t="s">
        <v>2671</v>
      </c>
      <c r="C494">
        <v>3</v>
      </c>
      <c r="D494" s="128">
        <v>1.29713732251367</v>
      </c>
      <c r="E494" s="11"/>
      <c r="F494" s="3" t="s">
        <v>662</v>
      </c>
      <c r="G494" s="3">
        <v>0.16323687000000001</v>
      </c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  <c r="BO494" s="11"/>
      <c r="BP494" s="11"/>
      <c r="BQ494" s="11"/>
      <c r="BR494" s="11"/>
    </row>
    <row r="495" spans="1:70" ht="15" x14ac:dyDescent="0.25">
      <c r="A495">
        <v>19</v>
      </c>
      <c r="B495" t="s">
        <v>2671</v>
      </c>
      <c r="C495">
        <v>4</v>
      </c>
      <c r="D495" s="128">
        <v>1.7327088128424399</v>
      </c>
      <c r="E495" s="11"/>
      <c r="F495" s="3" t="s">
        <v>663</v>
      </c>
      <c r="G495" s="3">
        <v>1E-4</v>
      </c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  <c r="BO495" s="11"/>
      <c r="BP495" s="11"/>
      <c r="BQ495" s="11"/>
      <c r="BR495" s="11"/>
    </row>
    <row r="496" spans="1:70" ht="15" x14ac:dyDescent="0.25">
      <c r="A496">
        <v>19</v>
      </c>
      <c r="B496" t="s">
        <v>2671</v>
      </c>
      <c r="C496">
        <v>5</v>
      </c>
      <c r="D496" s="128">
        <v>2.1681407861705901</v>
      </c>
      <c r="E496" s="11"/>
      <c r="F496" s="3" t="s">
        <v>664</v>
      </c>
      <c r="G496" s="3">
        <v>2.0000000000000001E-4</v>
      </c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</row>
    <row r="497" spans="1:70" ht="15" x14ac:dyDescent="0.25">
      <c r="A497">
        <v>19</v>
      </c>
      <c r="B497" t="s">
        <v>2671</v>
      </c>
      <c r="C497">
        <v>6</v>
      </c>
      <c r="D497" s="128">
        <v>2.6035727594987401</v>
      </c>
      <c r="E497" s="11"/>
      <c r="F497" s="3" t="s">
        <v>665</v>
      </c>
      <c r="G497" s="3">
        <v>2.9999999999999997E-4</v>
      </c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</row>
    <row r="498" spans="1:70" ht="15" x14ac:dyDescent="0.25">
      <c r="A498">
        <v>19</v>
      </c>
      <c r="B498" t="s">
        <v>2671</v>
      </c>
      <c r="C498">
        <v>7</v>
      </c>
      <c r="D498" s="128">
        <v>3.03884064082709</v>
      </c>
      <c r="E498" s="11"/>
      <c r="F498" s="3" t="s">
        <v>666</v>
      </c>
      <c r="G498" s="3">
        <v>4.0000000000000002E-4</v>
      </c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  <c r="BO498" s="11"/>
      <c r="BP498" s="11"/>
      <c r="BQ498" s="11"/>
      <c r="BR498" s="11"/>
    </row>
    <row r="499" spans="1:70" ht="15" x14ac:dyDescent="0.25">
      <c r="A499">
        <v>19</v>
      </c>
      <c r="B499" t="s">
        <v>2671</v>
      </c>
      <c r="C499">
        <v>8</v>
      </c>
      <c r="D499" s="128">
        <v>3.4741085221554302</v>
      </c>
      <c r="E499" s="11"/>
      <c r="F499" s="3" t="s">
        <v>667</v>
      </c>
      <c r="G499" s="3">
        <v>5.0000000000000001E-4</v>
      </c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  <c r="BO499" s="11"/>
      <c r="BP499" s="11"/>
      <c r="BQ499" s="11"/>
      <c r="BR499" s="11"/>
    </row>
    <row r="500" spans="1:70" ht="15" x14ac:dyDescent="0.25">
      <c r="A500">
        <v>19</v>
      </c>
      <c r="B500" t="s">
        <v>2671</v>
      </c>
      <c r="C500">
        <v>9</v>
      </c>
      <c r="D500" s="128">
        <v>3.9093764034837499</v>
      </c>
      <c r="E500" s="11"/>
      <c r="F500" s="3" t="s">
        <v>668</v>
      </c>
      <c r="G500" s="3">
        <v>6.9999999999999999E-4</v>
      </c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  <c r="BO500" s="11"/>
      <c r="BP500" s="11"/>
      <c r="BQ500" s="11"/>
      <c r="BR500" s="11"/>
    </row>
    <row r="501" spans="1:70" ht="15" x14ac:dyDescent="0.25">
      <c r="A501">
        <v>19</v>
      </c>
      <c r="B501" t="s">
        <v>2671</v>
      </c>
      <c r="C501">
        <v>10</v>
      </c>
      <c r="D501" s="128">
        <v>4.3444601156556999</v>
      </c>
      <c r="E501" s="11"/>
      <c r="F501" s="3" t="s">
        <v>669</v>
      </c>
      <c r="G501" s="3">
        <v>6.8209329999999999E-2</v>
      </c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  <c r="BO501" s="11"/>
      <c r="BP501" s="11"/>
      <c r="BQ501" s="11"/>
      <c r="BR501" s="11"/>
    </row>
    <row r="502" spans="1:70" ht="15" x14ac:dyDescent="0.25">
      <c r="A502">
        <v>19</v>
      </c>
      <c r="B502" t="s">
        <v>2671</v>
      </c>
      <c r="C502">
        <v>11</v>
      </c>
      <c r="D502" s="128">
        <v>4.7795438278276299</v>
      </c>
      <c r="E502" s="11"/>
      <c r="F502" s="3" t="s">
        <v>670</v>
      </c>
      <c r="G502" s="3">
        <v>7.496303E-2</v>
      </c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  <c r="BO502" s="11"/>
      <c r="BP502" s="11"/>
      <c r="BQ502" s="11"/>
      <c r="BR502" s="11"/>
    </row>
    <row r="503" spans="1:70" ht="15" x14ac:dyDescent="0.25">
      <c r="A503">
        <v>19</v>
      </c>
      <c r="B503" t="s">
        <v>2671</v>
      </c>
      <c r="C503">
        <v>12</v>
      </c>
      <c r="D503" s="128">
        <v>5.2146275399994897</v>
      </c>
      <c r="E503" s="11"/>
      <c r="F503" s="3" t="s">
        <v>671</v>
      </c>
      <c r="G503" s="3">
        <v>8.3491750000000003E-2</v>
      </c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  <c r="BO503" s="11"/>
      <c r="BP503" s="11"/>
      <c r="BQ503" s="11"/>
      <c r="BR503" s="11"/>
    </row>
    <row r="504" spans="1:70" ht="15" x14ac:dyDescent="0.25">
      <c r="A504">
        <v>19</v>
      </c>
      <c r="B504" t="s">
        <v>2671</v>
      </c>
      <c r="C504">
        <v>13</v>
      </c>
      <c r="D504" s="128">
        <v>5.6497112521714099</v>
      </c>
      <c r="E504" s="11"/>
      <c r="F504" s="3" t="s">
        <v>672</v>
      </c>
      <c r="G504" s="3">
        <v>1.3210009999999999E-2</v>
      </c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  <c r="BO504" s="11"/>
      <c r="BP504" s="11"/>
      <c r="BQ504" s="11"/>
      <c r="BR504" s="11"/>
    </row>
    <row r="505" spans="1:70" ht="15" x14ac:dyDescent="0.25">
      <c r="A505">
        <v>19</v>
      </c>
      <c r="B505" t="s">
        <v>2671</v>
      </c>
      <c r="C505">
        <v>14</v>
      </c>
      <c r="D505" s="128">
        <v>6.0847949643431596</v>
      </c>
      <c r="E505" s="11"/>
      <c r="F505" s="3" t="s">
        <v>673</v>
      </c>
      <c r="G505" s="3">
        <v>0.16323687000000001</v>
      </c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  <c r="BO505" s="11"/>
      <c r="BP505" s="11"/>
      <c r="BQ505" s="11"/>
      <c r="BR505" s="11"/>
    </row>
    <row r="506" spans="1:70" ht="15" x14ac:dyDescent="0.25">
      <c r="A506">
        <v>19</v>
      </c>
      <c r="B506" t="s">
        <v>2671</v>
      </c>
      <c r="C506">
        <v>15</v>
      </c>
      <c r="D506" s="128">
        <v>6.5198786765153196</v>
      </c>
      <c r="E506" s="11"/>
      <c r="F506" s="3" t="s">
        <v>674</v>
      </c>
      <c r="G506" s="3">
        <v>0.25</v>
      </c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  <c r="BO506" s="11"/>
      <c r="BP506" s="11"/>
      <c r="BQ506" s="11"/>
      <c r="BR506" s="11"/>
    </row>
    <row r="507" spans="1:70" ht="15" x14ac:dyDescent="0.25">
      <c r="A507">
        <v>19</v>
      </c>
      <c r="B507" t="s">
        <v>2671</v>
      </c>
      <c r="C507">
        <v>16</v>
      </c>
      <c r="D507" s="128">
        <v>6.9549623886871004</v>
      </c>
      <c r="E507" s="11"/>
      <c r="F507" s="3" t="s">
        <v>675</v>
      </c>
      <c r="G507" s="3">
        <v>0.35</v>
      </c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  <c r="BM507" s="11"/>
      <c r="BN507" s="11"/>
      <c r="BO507" s="11"/>
      <c r="BP507" s="11"/>
      <c r="BQ507" s="11"/>
      <c r="BR507" s="11"/>
    </row>
    <row r="508" spans="1:70" ht="15" x14ac:dyDescent="0.25">
      <c r="A508">
        <v>19</v>
      </c>
      <c r="B508" t="s">
        <v>2671</v>
      </c>
      <c r="C508">
        <v>17</v>
      </c>
      <c r="D508" s="128">
        <v>7.3900461008588296</v>
      </c>
      <c r="E508" s="11"/>
      <c r="F508" s="3" t="s">
        <v>676</v>
      </c>
      <c r="G508" s="3">
        <v>1</v>
      </c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  <c r="BM508" s="11"/>
      <c r="BN508" s="11"/>
      <c r="BO508" s="11"/>
      <c r="BP508" s="11"/>
      <c r="BQ508" s="11"/>
      <c r="BR508" s="11"/>
    </row>
    <row r="509" spans="1:70" ht="15" x14ac:dyDescent="0.25">
      <c r="A509">
        <v>19</v>
      </c>
      <c r="B509" t="s">
        <v>2671</v>
      </c>
      <c r="C509">
        <v>18</v>
      </c>
      <c r="D509" s="128">
        <v>7.8251298130302196</v>
      </c>
      <c r="E509" s="11"/>
      <c r="F509" s="3" t="s">
        <v>677</v>
      </c>
      <c r="G509" s="3">
        <v>1</v>
      </c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  <c r="BM509" s="11"/>
      <c r="BN509" s="11"/>
      <c r="BO509" s="11"/>
      <c r="BP509" s="11"/>
      <c r="BQ509" s="11"/>
      <c r="BR509" s="11"/>
    </row>
    <row r="510" spans="1:70" ht="15" x14ac:dyDescent="0.25">
      <c r="A510">
        <v>19</v>
      </c>
      <c r="B510" t="s">
        <v>2671</v>
      </c>
      <c r="C510">
        <v>19</v>
      </c>
      <c r="D510" s="128">
        <v>8.2602135252012605</v>
      </c>
      <c r="E510" s="11"/>
      <c r="F510" s="3" t="s">
        <v>678</v>
      </c>
      <c r="G510" s="3">
        <v>1</v>
      </c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  <c r="BM510" s="11"/>
      <c r="BN510" s="11"/>
      <c r="BO510" s="11"/>
      <c r="BP510" s="11"/>
      <c r="BQ510" s="11"/>
      <c r="BR510" s="11"/>
    </row>
    <row r="511" spans="1:70" ht="15" x14ac:dyDescent="0.25">
      <c r="A511">
        <v>19</v>
      </c>
      <c r="B511" t="s">
        <v>2671</v>
      </c>
      <c r="C511">
        <v>20</v>
      </c>
      <c r="D511" s="128">
        <v>8.6952972373770603</v>
      </c>
      <c r="E511" s="11"/>
      <c r="F511" s="3" t="s">
        <v>679</v>
      </c>
      <c r="G511" s="3">
        <v>2.3749880000000001E-2</v>
      </c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  <c r="BM511" s="11"/>
      <c r="BN511" s="11"/>
      <c r="BO511" s="11"/>
      <c r="BP511" s="11"/>
      <c r="BQ511" s="11"/>
      <c r="BR511" s="11"/>
    </row>
    <row r="512" spans="1:70" ht="15" x14ac:dyDescent="0.25">
      <c r="A512">
        <v>19</v>
      </c>
      <c r="B512" t="s">
        <v>2671</v>
      </c>
      <c r="C512">
        <v>21</v>
      </c>
      <c r="D512" s="128">
        <v>9.1303809495456907</v>
      </c>
      <c r="E512" s="11"/>
      <c r="F512" s="3" t="s">
        <v>680</v>
      </c>
      <c r="G512" s="3">
        <v>5.1500000000000005E-4</v>
      </c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  <c r="BM512" s="11"/>
      <c r="BN512" s="11"/>
      <c r="BO512" s="11"/>
      <c r="BP512" s="11"/>
      <c r="BQ512" s="11"/>
      <c r="BR512" s="11"/>
    </row>
    <row r="513" spans="1:70" ht="15" x14ac:dyDescent="0.25">
      <c r="A513">
        <v>19</v>
      </c>
      <c r="B513" t="s">
        <v>2671</v>
      </c>
      <c r="C513">
        <v>22</v>
      </c>
      <c r="D513" s="128">
        <v>9.5654646617149108</v>
      </c>
      <c r="E513" s="11"/>
      <c r="F513" s="3" t="s">
        <v>681</v>
      </c>
      <c r="G513" s="3">
        <v>1.15E-2</v>
      </c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  <c r="BM513" s="11"/>
      <c r="BN513" s="11"/>
      <c r="BO513" s="11"/>
      <c r="BP513" s="11"/>
      <c r="BQ513" s="11"/>
      <c r="BR513" s="11"/>
    </row>
    <row r="514" spans="1:70" ht="15" x14ac:dyDescent="0.25">
      <c r="A514">
        <v>19</v>
      </c>
      <c r="B514" t="s">
        <v>2671</v>
      </c>
      <c r="C514">
        <v>23</v>
      </c>
      <c r="D514" s="128">
        <v>10.0005483738978</v>
      </c>
      <c r="E514" s="11"/>
      <c r="F514" s="3" t="s">
        <v>682</v>
      </c>
      <c r="G514" s="3">
        <v>2.0500000000000001E-2</v>
      </c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  <c r="BM514" s="11"/>
      <c r="BN514" s="11"/>
      <c r="BO514" s="11"/>
      <c r="BP514" s="11"/>
      <c r="BQ514" s="11"/>
      <c r="BR514" s="11"/>
    </row>
    <row r="515" spans="1:70" ht="15" x14ac:dyDescent="0.25">
      <c r="A515">
        <v>19</v>
      </c>
      <c r="B515" t="s">
        <v>2671</v>
      </c>
      <c r="C515">
        <v>24</v>
      </c>
      <c r="D515" s="128">
        <v>10.435632086069401</v>
      </c>
      <c r="E515" s="11"/>
      <c r="F515" s="3" t="s">
        <v>683</v>
      </c>
      <c r="G515" s="3">
        <v>3.5000000000000003E-2</v>
      </c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  <c r="BM515" s="11"/>
      <c r="BN515" s="11"/>
      <c r="BO515" s="11"/>
      <c r="BP515" s="11"/>
      <c r="BQ515" s="11"/>
      <c r="BR515" s="11"/>
    </row>
    <row r="516" spans="1:70" ht="15" x14ac:dyDescent="0.25">
      <c r="A516">
        <v>19</v>
      </c>
      <c r="B516" t="s">
        <v>2671</v>
      </c>
      <c r="C516">
        <v>25</v>
      </c>
      <c r="D516" s="128">
        <v>10.870715798255899</v>
      </c>
      <c r="E516" s="11"/>
      <c r="F516" s="3" t="s">
        <v>684</v>
      </c>
      <c r="G516" s="3">
        <v>6.0999999999999999E-2</v>
      </c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  <c r="BM516" s="11"/>
      <c r="BN516" s="11"/>
      <c r="BO516" s="11"/>
      <c r="BP516" s="11"/>
      <c r="BQ516" s="11"/>
      <c r="BR516" s="11"/>
    </row>
    <row r="517" spans="1:70" ht="15" x14ac:dyDescent="0.25">
      <c r="A517">
        <v>19</v>
      </c>
      <c r="B517" t="s">
        <v>2671</v>
      </c>
      <c r="C517">
        <v>26</v>
      </c>
      <c r="D517" s="128">
        <v>11.3057995103665</v>
      </c>
      <c r="E517" s="11"/>
      <c r="F517" s="3" t="s">
        <v>685</v>
      </c>
      <c r="G517" s="3">
        <v>0.105</v>
      </c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  <c r="BM517" s="11"/>
      <c r="BN517" s="11"/>
      <c r="BO517" s="11"/>
      <c r="BP517" s="11"/>
      <c r="BQ517" s="11"/>
      <c r="BR517" s="11"/>
    </row>
    <row r="518" spans="1:70" ht="15" x14ac:dyDescent="0.25">
      <c r="A518">
        <v>19</v>
      </c>
      <c r="B518" t="s">
        <v>2671</v>
      </c>
      <c r="C518">
        <v>27</v>
      </c>
      <c r="D518" s="128">
        <v>11.740883222622699</v>
      </c>
      <c r="E518" s="11"/>
      <c r="F518" s="3" t="s">
        <v>686</v>
      </c>
      <c r="G518" s="3">
        <v>0.1827</v>
      </c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  <c r="BM518" s="11"/>
      <c r="BN518" s="11"/>
      <c r="BO518" s="11"/>
      <c r="BP518" s="11"/>
      <c r="BQ518" s="11"/>
      <c r="BR518" s="11"/>
    </row>
    <row r="519" spans="1:70" ht="15" x14ac:dyDescent="0.25">
      <c r="A519">
        <v>19</v>
      </c>
      <c r="B519" t="s">
        <v>2671</v>
      </c>
      <c r="C519">
        <v>28</v>
      </c>
      <c r="D519" s="128">
        <v>12.175966934806199</v>
      </c>
      <c r="E519" s="11"/>
      <c r="F519" s="3" t="s">
        <v>687</v>
      </c>
      <c r="G519" s="3">
        <v>0.25</v>
      </c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  <c r="BM519" s="11"/>
      <c r="BN519" s="11"/>
      <c r="BO519" s="11"/>
      <c r="BP519" s="11"/>
      <c r="BQ519" s="11"/>
      <c r="BR519" s="11"/>
    </row>
    <row r="520" spans="1:70" ht="15" x14ac:dyDescent="0.25">
      <c r="A520">
        <v>19</v>
      </c>
      <c r="B520" t="s">
        <v>2671</v>
      </c>
      <c r="C520">
        <v>29</v>
      </c>
      <c r="D520" s="128">
        <v>12.611050646894199</v>
      </c>
      <c r="E520" s="11"/>
      <c r="F520" s="3" t="s">
        <v>688</v>
      </c>
      <c r="G520" s="3">
        <v>0.35</v>
      </c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  <c r="BM520" s="11"/>
      <c r="BN520" s="11"/>
      <c r="BO520" s="11"/>
      <c r="BP520" s="11"/>
      <c r="BQ520" s="11"/>
      <c r="BR520" s="11"/>
    </row>
    <row r="521" spans="1:70" ht="15" x14ac:dyDescent="0.25">
      <c r="A521">
        <v>19</v>
      </c>
      <c r="B521" t="s">
        <v>2671</v>
      </c>
      <c r="C521">
        <v>30</v>
      </c>
      <c r="D521" s="128">
        <v>13.0461343592326</v>
      </c>
      <c r="E521" s="11"/>
      <c r="F521" s="3" t="s">
        <v>689</v>
      </c>
      <c r="G521" s="3">
        <v>1</v>
      </c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  <c r="BM521" s="11"/>
      <c r="BN521" s="11"/>
      <c r="BO521" s="11"/>
      <c r="BP521" s="11"/>
      <c r="BQ521" s="11"/>
      <c r="BR521" s="11"/>
    </row>
    <row r="522" spans="1:70" ht="15" x14ac:dyDescent="0.25">
      <c r="A522">
        <v>19</v>
      </c>
      <c r="B522" t="s">
        <v>2671</v>
      </c>
      <c r="C522">
        <v>31</v>
      </c>
      <c r="D522" s="128">
        <v>13.481218070983401</v>
      </c>
      <c r="E522" s="11"/>
      <c r="F522" s="3" t="s">
        <v>690</v>
      </c>
      <c r="G522" s="3">
        <v>1</v>
      </c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  <c r="BM522" s="11"/>
      <c r="BN522" s="11"/>
      <c r="BO522" s="11"/>
      <c r="BP522" s="11"/>
      <c r="BQ522" s="11"/>
      <c r="BR522" s="11"/>
    </row>
    <row r="523" spans="1:70" ht="15" x14ac:dyDescent="0.25">
      <c r="A523">
        <v>19</v>
      </c>
      <c r="B523" t="s">
        <v>2671</v>
      </c>
      <c r="C523">
        <v>32</v>
      </c>
      <c r="D523" s="128">
        <v>13.916301783185601</v>
      </c>
      <c r="E523" s="11"/>
      <c r="F523" s="3" t="s">
        <v>691</v>
      </c>
      <c r="G523" s="3">
        <v>1</v>
      </c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  <c r="BM523" s="11"/>
      <c r="BN523" s="11"/>
      <c r="BO523" s="11"/>
      <c r="BP523" s="11"/>
      <c r="BQ523" s="11"/>
      <c r="BR523" s="11"/>
    </row>
    <row r="524" spans="1:70" ht="15" x14ac:dyDescent="0.25">
      <c r="A524">
        <v>19</v>
      </c>
      <c r="B524" t="s">
        <v>2671</v>
      </c>
      <c r="C524">
        <v>33</v>
      </c>
      <c r="D524" s="128">
        <v>14.3513854958391</v>
      </c>
      <c r="E524" s="11"/>
      <c r="F524" s="3" t="s">
        <v>692</v>
      </c>
      <c r="G524" s="3">
        <v>1.03E-4</v>
      </c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  <c r="BM524" s="11"/>
      <c r="BN524" s="11"/>
      <c r="BO524" s="11"/>
      <c r="BP524" s="11"/>
      <c r="BQ524" s="11"/>
      <c r="BR524" s="11"/>
    </row>
    <row r="525" spans="1:70" ht="15" x14ac:dyDescent="0.25">
      <c r="A525">
        <v>19</v>
      </c>
      <c r="B525" t="s">
        <v>2671</v>
      </c>
      <c r="C525">
        <v>34</v>
      </c>
      <c r="D525" s="128">
        <v>14.7864692088146</v>
      </c>
      <c r="E525" s="11"/>
      <c r="F525" s="3" t="s">
        <v>693</v>
      </c>
      <c r="G525" s="3">
        <v>2.0599999999999999E-4</v>
      </c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  <c r="BM525" s="11"/>
      <c r="BN525" s="11"/>
      <c r="BO525" s="11"/>
      <c r="BP525" s="11"/>
      <c r="BQ525" s="11"/>
      <c r="BR525" s="11"/>
    </row>
    <row r="526" spans="1:70" ht="15" x14ac:dyDescent="0.25">
      <c r="A526">
        <v>19</v>
      </c>
      <c r="B526" t="s">
        <v>2671</v>
      </c>
      <c r="C526">
        <v>35</v>
      </c>
      <c r="D526" s="128">
        <v>15.2215529214557</v>
      </c>
      <c r="E526" s="11"/>
      <c r="F526" s="3" t="s">
        <v>694</v>
      </c>
      <c r="G526" s="3">
        <v>3.0899999999999998E-4</v>
      </c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  <c r="BM526" s="11"/>
      <c r="BN526" s="11"/>
      <c r="BO526" s="11"/>
      <c r="BP526" s="11"/>
      <c r="BQ526" s="11"/>
      <c r="BR526" s="11"/>
    </row>
    <row r="527" spans="1:70" ht="15" x14ac:dyDescent="0.25">
      <c r="A527">
        <v>19</v>
      </c>
      <c r="B527" t="s">
        <v>2671</v>
      </c>
      <c r="C527">
        <v>36</v>
      </c>
      <c r="D527" s="128">
        <v>15.656636635892401</v>
      </c>
      <c r="E527" s="11"/>
      <c r="F527" s="3" t="s">
        <v>695</v>
      </c>
      <c r="G527" s="3">
        <v>4.1199999999999999E-4</v>
      </c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  <c r="BM527" s="11"/>
      <c r="BN527" s="11"/>
      <c r="BO527" s="11"/>
      <c r="BP527" s="11"/>
      <c r="BQ527" s="11"/>
      <c r="BR527" s="11"/>
    </row>
    <row r="528" spans="1:70" ht="15" x14ac:dyDescent="0.25">
      <c r="A528">
        <v>19</v>
      </c>
      <c r="B528" t="s">
        <v>2671</v>
      </c>
      <c r="C528">
        <v>37</v>
      </c>
      <c r="D528" s="128">
        <v>16.0917203479517</v>
      </c>
      <c r="E528" s="11"/>
      <c r="F528" s="3" t="s">
        <v>696</v>
      </c>
      <c r="G528" s="3">
        <v>5.1500000000000005E-4</v>
      </c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  <c r="BM528" s="11"/>
      <c r="BN528" s="11"/>
      <c r="BO528" s="11"/>
      <c r="BP528" s="11"/>
      <c r="BQ528" s="11"/>
      <c r="BR528" s="11"/>
    </row>
    <row r="529" spans="1:70" ht="15" x14ac:dyDescent="0.25">
      <c r="A529">
        <v>19</v>
      </c>
      <c r="B529" t="s">
        <v>2671</v>
      </c>
      <c r="C529">
        <v>38</v>
      </c>
      <c r="D529" s="128">
        <v>16.526804058238401</v>
      </c>
      <c r="E529" s="11"/>
      <c r="F529" s="3" t="s">
        <v>697</v>
      </c>
      <c r="G529" s="3">
        <v>6.2074999999999999E-4</v>
      </c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  <c r="BM529" s="11"/>
      <c r="BN529" s="11"/>
      <c r="BO529" s="11"/>
      <c r="BP529" s="11"/>
      <c r="BQ529" s="11"/>
      <c r="BR529" s="11"/>
    </row>
    <row r="530" spans="1:70" ht="15" x14ac:dyDescent="0.25">
      <c r="A530">
        <v>19</v>
      </c>
      <c r="B530" t="s">
        <v>2671</v>
      </c>
      <c r="C530">
        <v>39</v>
      </c>
      <c r="D530" s="128">
        <v>16.9618877604731</v>
      </c>
      <c r="E530" s="11"/>
      <c r="F530" s="3" t="s">
        <v>698</v>
      </c>
      <c r="G530" s="3">
        <v>9.1759000000000003E-4</v>
      </c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  <c r="BM530" s="11"/>
      <c r="BN530" s="11"/>
      <c r="BO530" s="11"/>
      <c r="BP530" s="11"/>
      <c r="BQ530" s="11"/>
      <c r="BR530" s="11"/>
    </row>
    <row r="531" spans="1:70" ht="15" x14ac:dyDescent="0.25">
      <c r="A531">
        <v>19</v>
      </c>
      <c r="B531" t="s">
        <v>2671</v>
      </c>
      <c r="C531">
        <v>40</v>
      </c>
      <c r="D531" s="128">
        <v>17.3969714727418</v>
      </c>
      <c r="E531" s="11"/>
      <c r="F531" s="3" t="s">
        <v>699</v>
      </c>
      <c r="G531" s="3">
        <v>1.3948400000000001E-3</v>
      </c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  <c r="BM531" s="11"/>
      <c r="BN531" s="11"/>
      <c r="BO531" s="11"/>
      <c r="BP531" s="11"/>
      <c r="BQ531" s="11"/>
      <c r="BR531" s="11"/>
    </row>
    <row r="532" spans="1:70" ht="15" x14ac:dyDescent="0.25">
      <c r="A532">
        <v>20</v>
      </c>
      <c r="B532" t="s">
        <v>2672</v>
      </c>
      <c r="C532">
        <v>1</v>
      </c>
      <c r="D532" s="128">
        <v>100000</v>
      </c>
      <c r="E532" s="11"/>
      <c r="F532" s="3" t="s">
        <v>700</v>
      </c>
      <c r="G532" s="3">
        <v>3.121E-4</v>
      </c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  <c r="BM532" s="11"/>
      <c r="BN532" s="11"/>
      <c r="BO532" s="11"/>
      <c r="BP532" s="11"/>
      <c r="BQ532" s="11"/>
      <c r="BR532" s="11"/>
    </row>
    <row r="533" spans="1:70" ht="15" x14ac:dyDescent="0.25">
      <c r="A533">
        <v>3</v>
      </c>
      <c r="B533" t="s">
        <v>2673</v>
      </c>
      <c r="C533">
        <v>1</v>
      </c>
      <c r="D533" s="128">
        <v>3.00045009E-4</v>
      </c>
      <c r="E533" s="11"/>
      <c r="F533" s="3" t="s">
        <v>701</v>
      </c>
      <c r="G533" s="3">
        <v>4.4267999999999998E-4</v>
      </c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  <c r="BM533" s="11"/>
      <c r="BN533" s="11"/>
      <c r="BO533" s="11"/>
      <c r="BP533" s="11"/>
      <c r="BQ533" s="11"/>
      <c r="BR533" s="11"/>
    </row>
    <row r="534" spans="1:70" ht="15" x14ac:dyDescent="0.25">
      <c r="A534">
        <v>3</v>
      </c>
      <c r="B534" t="s">
        <v>2673</v>
      </c>
      <c r="C534">
        <v>2</v>
      </c>
      <c r="D534" s="128">
        <v>6.0009001799999999E-4</v>
      </c>
      <c r="E534" s="11"/>
      <c r="F534" s="3" t="s">
        <v>702</v>
      </c>
      <c r="G534" s="3">
        <v>5.6539999999999997E-4</v>
      </c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</row>
    <row r="535" spans="1:70" ht="15" x14ac:dyDescent="0.25">
      <c r="A535">
        <v>3</v>
      </c>
      <c r="B535" t="s">
        <v>2673</v>
      </c>
      <c r="C535">
        <v>3</v>
      </c>
      <c r="D535" s="128">
        <v>9.9796597094000002E-4</v>
      </c>
      <c r="E535" s="11"/>
      <c r="F535" s="3" t="s">
        <v>703</v>
      </c>
      <c r="G535" s="3">
        <v>7.5471000000000002E-4</v>
      </c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  <c r="BM535" s="11"/>
      <c r="BN535" s="11"/>
      <c r="BO535" s="11"/>
      <c r="BP535" s="11"/>
      <c r="BQ535" s="11"/>
      <c r="BR535" s="11"/>
    </row>
    <row r="536" spans="1:70" ht="15" x14ac:dyDescent="0.25">
      <c r="A536">
        <v>3</v>
      </c>
      <c r="B536" t="s">
        <v>2673</v>
      </c>
      <c r="C536">
        <v>4</v>
      </c>
      <c r="D536" s="128">
        <v>1.6028410945600001E-3</v>
      </c>
      <c r="E536" s="11"/>
      <c r="F536" s="3" t="s">
        <v>704</v>
      </c>
      <c r="G536" s="3">
        <v>1.0194100000000001E-3</v>
      </c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  <c r="BM536" s="11"/>
      <c r="BN536" s="11"/>
      <c r="BO536" s="11"/>
      <c r="BP536" s="11"/>
      <c r="BQ536" s="11"/>
      <c r="BR536" s="11"/>
    </row>
    <row r="537" spans="1:70" ht="15" x14ac:dyDescent="0.25">
      <c r="A537">
        <v>3</v>
      </c>
      <c r="B537" t="s">
        <v>2673</v>
      </c>
      <c r="C537">
        <v>5</v>
      </c>
      <c r="D537" s="128">
        <v>2.3316435716800002E-3</v>
      </c>
      <c r="E537" s="11"/>
      <c r="F537" s="3" t="s">
        <v>705</v>
      </c>
      <c r="G537" s="3">
        <v>1.56638E-3</v>
      </c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  <c r="BM537" s="11"/>
      <c r="BN537" s="11"/>
      <c r="BO537" s="11"/>
      <c r="BP537" s="11"/>
      <c r="BQ537" s="11"/>
      <c r="BR537" s="11"/>
    </row>
    <row r="538" spans="1:70" ht="15" x14ac:dyDescent="0.25">
      <c r="A538">
        <v>3</v>
      </c>
      <c r="B538" t="s">
        <v>2673</v>
      </c>
      <c r="C538">
        <v>6</v>
      </c>
      <c r="D538" s="128">
        <v>3.2022743947699999E-3</v>
      </c>
      <c r="E538" s="11"/>
      <c r="F538" s="3" t="s">
        <v>706</v>
      </c>
      <c r="G538" s="3">
        <v>2.1463599999999999E-3</v>
      </c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  <c r="BM538" s="11"/>
      <c r="BN538" s="11"/>
      <c r="BO538" s="11"/>
      <c r="BP538" s="11"/>
      <c r="BQ538" s="11"/>
      <c r="BR538" s="11"/>
    </row>
    <row r="539" spans="1:70" ht="15" x14ac:dyDescent="0.25">
      <c r="A539">
        <v>3</v>
      </c>
      <c r="B539" t="s">
        <v>2673</v>
      </c>
      <c r="C539">
        <v>7</v>
      </c>
      <c r="D539" s="128">
        <v>4.2094554259699997E-3</v>
      </c>
      <c r="E539" s="11"/>
      <c r="F539" s="3" t="s">
        <v>707</v>
      </c>
      <c r="G539" s="3">
        <v>3.2543799999999999E-3</v>
      </c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  <c r="BM539" s="11"/>
      <c r="BN539" s="11"/>
      <c r="BO539" s="11"/>
      <c r="BP539" s="11"/>
      <c r="BQ539" s="11"/>
      <c r="BR539" s="11"/>
    </row>
    <row r="540" spans="1:70" ht="15" x14ac:dyDescent="0.25">
      <c r="A540">
        <v>3</v>
      </c>
      <c r="B540" t="s">
        <v>2673</v>
      </c>
      <c r="C540">
        <v>8</v>
      </c>
      <c r="D540" s="128">
        <v>5.3561125963100002E-3</v>
      </c>
      <c r="E540" s="11"/>
      <c r="F540" s="3" t="s">
        <v>708</v>
      </c>
      <c r="G540" s="3">
        <v>5.5799600000000001E-3</v>
      </c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  <c r="BM540" s="11"/>
      <c r="BN540" s="11"/>
      <c r="BO540" s="11"/>
      <c r="BP540" s="11"/>
      <c r="BQ540" s="11"/>
      <c r="BR540" s="11"/>
    </row>
    <row r="541" spans="1:70" ht="15" x14ac:dyDescent="0.25">
      <c r="A541">
        <v>3</v>
      </c>
      <c r="B541" t="s">
        <v>2673</v>
      </c>
      <c r="C541">
        <v>9</v>
      </c>
      <c r="D541" s="128">
        <v>6.6460733010999997E-3</v>
      </c>
      <c r="E541" s="11"/>
      <c r="F541" s="3" t="s">
        <v>709</v>
      </c>
      <c r="G541" s="3">
        <v>9.5059299999999992E-3</v>
      </c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  <c r="BM541" s="11"/>
      <c r="BN541" s="11"/>
      <c r="BO541" s="11"/>
      <c r="BP541" s="11"/>
      <c r="BQ541" s="11"/>
      <c r="BR541" s="11"/>
    </row>
    <row r="542" spans="1:70" ht="15" x14ac:dyDescent="0.25">
      <c r="A542">
        <v>3</v>
      </c>
      <c r="B542" t="s">
        <v>2673</v>
      </c>
      <c r="C542">
        <v>10</v>
      </c>
      <c r="D542" s="128">
        <v>8.0838665646599996E-3</v>
      </c>
      <c r="E542" s="11"/>
      <c r="F542" s="3" t="s">
        <v>710</v>
      </c>
      <c r="G542" s="3">
        <v>1.708144E-2</v>
      </c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  <c r="BM542" s="11"/>
      <c r="BN542" s="11"/>
      <c r="BO542" s="11"/>
      <c r="BP542" s="11"/>
      <c r="BQ542" s="11"/>
      <c r="BR542" s="11"/>
    </row>
    <row r="543" spans="1:70" ht="15" x14ac:dyDescent="0.25">
      <c r="A543">
        <v>3</v>
      </c>
      <c r="B543" t="s">
        <v>2673</v>
      </c>
      <c r="C543">
        <v>11</v>
      </c>
      <c r="D543" s="128">
        <v>9.6740226948199993E-3</v>
      </c>
      <c r="E543" s="11"/>
      <c r="F543" s="3" t="s">
        <v>711</v>
      </c>
      <c r="G543" s="3">
        <v>3.041835E-2</v>
      </c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  <c r="BM543" s="11"/>
      <c r="BN543" s="11"/>
      <c r="BO543" s="11"/>
      <c r="BP543" s="11"/>
      <c r="BQ543" s="11"/>
      <c r="BR543" s="11"/>
    </row>
    <row r="544" spans="1:70" ht="15" x14ac:dyDescent="0.25">
      <c r="A544">
        <v>3</v>
      </c>
      <c r="B544" t="s">
        <v>2673</v>
      </c>
      <c r="C544">
        <v>12</v>
      </c>
      <c r="D544" s="128">
        <v>1.1421393619000001E-2</v>
      </c>
      <c r="E544" s="11"/>
      <c r="F544" s="3" t="s">
        <v>712</v>
      </c>
      <c r="G544" s="3">
        <v>5.3775360000000001E-2</v>
      </c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  <c r="BM544" s="11"/>
      <c r="BN544" s="11"/>
      <c r="BO544" s="11"/>
      <c r="BP544" s="11"/>
      <c r="BQ544" s="11"/>
      <c r="BR544" s="11"/>
    </row>
    <row r="545" spans="1:70" ht="15" x14ac:dyDescent="0.25">
      <c r="A545">
        <v>3</v>
      </c>
      <c r="B545" t="s">
        <v>2673</v>
      </c>
      <c r="C545">
        <v>13</v>
      </c>
      <c r="D545" s="128">
        <v>1.3330792665560001E-2</v>
      </c>
      <c r="E545" s="11"/>
      <c r="F545" s="3" t="s">
        <v>713</v>
      </c>
      <c r="G545" s="3">
        <v>0.10133394</v>
      </c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  <c r="BM545" s="11"/>
      <c r="BN545" s="11"/>
      <c r="BO545" s="11"/>
      <c r="BP545" s="11"/>
      <c r="BQ545" s="11"/>
      <c r="BR545" s="11"/>
    </row>
    <row r="546" spans="1:70" ht="15" x14ac:dyDescent="0.25">
      <c r="A546">
        <v>3</v>
      </c>
      <c r="B546" t="s">
        <v>2673</v>
      </c>
      <c r="C546">
        <v>14</v>
      </c>
      <c r="D546" s="128">
        <v>1.540693452068E-2</v>
      </c>
      <c r="E546" s="11"/>
      <c r="F546" s="3" t="s">
        <v>714</v>
      </c>
      <c r="G546" s="3">
        <v>0.17497341999999999</v>
      </c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  <c r="BM546" s="11"/>
      <c r="BN546" s="11"/>
      <c r="BO546" s="11"/>
      <c r="BP546" s="11"/>
      <c r="BQ546" s="11"/>
      <c r="BR546" s="11"/>
    </row>
    <row r="547" spans="1:70" ht="15" x14ac:dyDescent="0.25">
      <c r="A547">
        <v>3</v>
      </c>
      <c r="B547" t="s">
        <v>2673</v>
      </c>
      <c r="C547">
        <v>15</v>
      </c>
      <c r="D547" s="128">
        <v>1.7654285051389999E-2</v>
      </c>
      <c r="E547" s="11"/>
      <c r="F547" s="3" t="s">
        <v>715</v>
      </c>
      <c r="G547" s="3">
        <v>0.28816491</v>
      </c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  <c r="BM547" s="11"/>
      <c r="BN547" s="11"/>
      <c r="BO547" s="11"/>
      <c r="BP547" s="11"/>
      <c r="BQ547" s="11"/>
      <c r="BR547" s="11"/>
    </row>
    <row r="548" spans="1:70" ht="15" x14ac:dyDescent="0.25">
      <c r="A548">
        <v>3</v>
      </c>
      <c r="B548" t="s">
        <v>2673</v>
      </c>
      <c r="C548">
        <v>16</v>
      </c>
      <c r="D548" s="128">
        <v>2.0077071257569998E-2</v>
      </c>
      <c r="E548" s="11"/>
      <c r="F548" s="3" t="s">
        <v>716</v>
      </c>
      <c r="G548" s="3">
        <v>0.46055327000000001</v>
      </c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  <c r="BM548" s="11"/>
      <c r="BN548" s="11"/>
      <c r="BO548" s="11"/>
      <c r="BP548" s="11"/>
      <c r="BQ548" s="11"/>
      <c r="BR548" s="11"/>
    </row>
    <row r="549" spans="1:70" ht="15" x14ac:dyDescent="0.25">
      <c r="A549">
        <v>3</v>
      </c>
      <c r="B549" t="s">
        <v>2673</v>
      </c>
      <c r="C549">
        <v>17</v>
      </c>
      <c r="D549" s="128">
        <v>2.26793513036E-2</v>
      </c>
      <c r="E549" s="11"/>
      <c r="F549" s="3" t="s">
        <v>717</v>
      </c>
      <c r="G549" s="3">
        <v>1</v>
      </c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  <c r="BM549" s="11"/>
      <c r="BN549" s="11"/>
      <c r="BO549" s="11"/>
      <c r="BP549" s="11"/>
      <c r="BQ549" s="11"/>
      <c r="BR549" s="11"/>
    </row>
    <row r="550" spans="1:70" ht="15" x14ac:dyDescent="0.25">
      <c r="A550">
        <v>3</v>
      </c>
      <c r="B550" t="s">
        <v>2673</v>
      </c>
      <c r="C550">
        <v>18</v>
      </c>
      <c r="D550" s="128">
        <v>2.5464423644459999E-2</v>
      </c>
      <c r="E550" s="11"/>
      <c r="F550" s="3" t="s">
        <v>718</v>
      </c>
      <c r="G550" s="3">
        <v>1</v>
      </c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  <c r="BM550" s="11"/>
      <c r="BN550" s="11"/>
      <c r="BO550" s="11"/>
      <c r="BP550" s="11"/>
      <c r="BQ550" s="11"/>
      <c r="BR550" s="11"/>
    </row>
    <row r="551" spans="1:70" ht="15" x14ac:dyDescent="0.25">
      <c r="A551">
        <v>3</v>
      </c>
      <c r="B551" t="s">
        <v>2673</v>
      </c>
      <c r="C551">
        <v>19</v>
      </c>
      <c r="D551" s="128">
        <v>2.843576814936E-2</v>
      </c>
      <c r="E551" s="11"/>
      <c r="F551" s="3" t="s">
        <v>719</v>
      </c>
      <c r="G551" s="3">
        <v>1</v>
      </c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  <c r="BM551" s="11"/>
      <c r="BN551" s="11"/>
      <c r="BO551" s="11"/>
      <c r="BP551" s="11"/>
      <c r="BQ551" s="11"/>
      <c r="BR551" s="11"/>
    </row>
    <row r="552" spans="1:70" ht="15" x14ac:dyDescent="0.25">
      <c r="A552">
        <v>3</v>
      </c>
      <c r="B552" t="s">
        <v>2673</v>
      </c>
      <c r="C552">
        <v>20</v>
      </c>
      <c r="D552" s="128">
        <v>3.1596144771409998E-2</v>
      </c>
      <c r="E552" s="11"/>
      <c r="F552" s="3" t="s">
        <v>720</v>
      </c>
      <c r="G552" s="3">
        <v>1.3210009999999999E-2</v>
      </c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  <c r="BM552" s="11"/>
      <c r="BN552" s="11"/>
      <c r="BO552" s="11"/>
      <c r="BP552" s="11"/>
      <c r="BQ552" s="11"/>
      <c r="BR552" s="11"/>
    </row>
    <row r="553" spans="1:70" ht="15" x14ac:dyDescent="0.25">
      <c r="A553">
        <v>3</v>
      </c>
      <c r="B553" t="s">
        <v>2673</v>
      </c>
      <c r="C553">
        <v>21</v>
      </c>
      <c r="D553" s="128">
        <v>3.4947653363110003E-2</v>
      </c>
      <c r="E553" s="11"/>
      <c r="F553" s="3" t="s">
        <v>721</v>
      </c>
      <c r="G553" s="3">
        <v>2.3749880000000001E-2</v>
      </c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  <c r="BM553" s="11"/>
      <c r="BN553" s="11"/>
      <c r="BO553" s="11"/>
      <c r="BP553" s="11"/>
      <c r="BQ553" s="11"/>
      <c r="BR553" s="11"/>
    </row>
    <row r="554" spans="1:70" ht="15" x14ac:dyDescent="0.25">
      <c r="A554">
        <v>3</v>
      </c>
      <c r="B554" t="s">
        <v>2673</v>
      </c>
      <c r="C554">
        <v>22</v>
      </c>
      <c r="D554" s="128">
        <v>3.8492514771129999E-2</v>
      </c>
      <c r="E554" s="11"/>
      <c r="F554" s="3" t="s">
        <v>722</v>
      </c>
      <c r="G554" s="3">
        <v>4.3910339999999999E-2</v>
      </c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  <c r="BM554" s="11"/>
      <c r="BN554" s="11"/>
      <c r="BO554" s="11"/>
      <c r="BP554" s="11"/>
      <c r="BQ554" s="11"/>
      <c r="BR554" s="11"/>
    </row>
    <row r="555" spans="1:70" ht="15" x14ac:dyDescent="0.25">
      <c r="A555">
        <v>3</v>
      </c>
      <c r="B555" t="s">
        <v>2673</v>
      </c>
      <c r="C555">
        <v>23</v>
      </c>
      <c r="D555" s="128">
        <v>4.2232479808340002E-2</v>
      </c>
      <c r="E555" s="11"/>
      <c r="F555" s="3" t="s">
        <v>723</v>
      </c>
      <c r="G555" s="3">
        <v>8.3487039999999998E-2</v>
      </c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  <c r="BM555" s="11"/>
      <c r="BN555" s="11"/>
      <c r="BO555" s="11"/>
      <c r="BP555" s="11"/>
      <c r="BQ555" s="11"/>
      <c r="BR555" s="11"/>
    </row>
    <row r="556" spans="1:70" ht="15" x14ac:dyDescent="0.25">
      <c r="A556">
        <v>3</v>
      </c>
      <c r="B556" t="s">
        <v>2673</v>
      </c>
      <c r="C556">
        <v>24</v>
      </c>
      <c r="D556" s="128">
        <v>4.6168057571600002E-2</v>
      </c>
      <c r="E556" s="11"/>
      <c r="F556" s="3" t="s">
        <v>724</v>
      </c>
      <c r="G556" s="3">
        <v>0.16323687000000001</v>
      </c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  <c r="BM556" s="11"/>
      <c r="BN556" s="11"/>
      <c r="BO556" s="11"/>
      <c r="BP556" s="11"/>
      <c r="BQ556" s="11"/>
      <c r="BR556" s="11"/>
    </row>
    <row r="557" spans="1:70" ht="15" x14ac:dyDescent="0.25">
      <c r="A557">
        <v>3</v>
      </c>
      <c r="B557" t="s">
        <v>2673</v>
      </c>
      <c r="C557">
        <v>25</v>
      </c>
      <c r="D557" s="128">
        <v>5.0300569023850002E-2</v>
      </c>
      <c r="E557" s="11"/>
      <c r="F557" s="3" t="s">
        <v>725</v>
      </c>
      <c r="G557" s="3">
        <v>0.25</v>
      </c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  <c r="BM557" s="11"/>
      <c r="BN557" s="11"/>
      <c r="BO557" s="11"/>
      <c r="BP557" s="11"/>
      <c r="BQ557" s="11"/>
      <c r="BR557" s="11"/>
    </row>
    <row r="558" spans="1:70" ht="15" x14ac:dyDescent="0.25">
      <c r="A558">
        <v>3</v>
      </c>
      <c r="B558" t="s">
        <v>2673</v>
      </c>
      <c r="C558">
        <v>26</v>
      </c>
      <c r="D558" s="128">
        <v>5.4630052952370001E-2</v>
      </c>
      <c r="E558" s="11"/>
      <c r="F558" s="3" t="s">
        <v>726</v>
      </c>
      <c r="G558" s="3">
        <v>0.35</v>
      </c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  <c r="BM558" s="11"/>
      <c r="BN558" s="11"/>
      <c r="BO558" s="11"/>
      <c r="BP558" s="11"/>
      <c r="BQ558" s="11"/>
      <c r="BR558" s="11"/>
    </row>
    <row r="559" spans="1:70" ht="15" x14ac:dyDescent="0.25">
      <c r="A559">
        <v>3</v>
      </c>
      <c r="B559" t="s">
        <v>2673</v>
      </c>
      <c r="C559">
        <v>27</v>
      </c>
      <c r="D559" s="128">
        <v>5.9156417915130002E-2</v>
      </c>
      <c r="E559" s="11"/>
      <c r="F559" s="3" t="s">
        <v>727</v>
      </c>
      <c r="G559" s="3">
        <v>1</v>
      </c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  <c r="BM559" s="11"/>
      <c r="BN559" s="11"/>
      <c r="BO559" s="11"/>
      <c r="BP559" s="11"/>
      <c r="BQ559" s="11"/>
      <c r="BR559" s="11"/>
    </row>
    <row r="560" spans="1:70" ht="15" x14ac:dyDescent="0.25">
      <c r="A560">
        <v>3</v>
      </c>
      <c r="B560" t="s">
        <v>2673</v>
      </c>
      <c r="C560">
        <v>28</v>
      </c>
      <c r="D560" s="128">
        <v>6.3879492288169998E-2</v>
      </c>
      <c r="E560" s="11"/>
      <c r="F560" s="3" t="s">
        <v>728</v>
      </c>
      <c r="G560" s="3">
        <v>1</v>
      </c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  <c r="BM560" s="11"/>
      <c r="BN560" s="11"/>
      <c r="BO560" s="11"/>
      <c r="BP560" s="11"/>
      <c r="BQ560" s="11"/>
      <c r="BR560" s="11"/>
    </row>
    <row r="561" spans="1:70" ht="15" x14ac:dyDescent="0.25">
      <c r="A561">
        <v>3</v>
      </c>
      <c r="B561" t="s">
        <v>2673</v>
      </c>
      <c r="C561">
        <v>29</v>
      </c>
      <c r="D561" s="128">
        <v>6.8798202274520007E-2</v>
      </c>
      <c r="E561" s="11"/>
      <c r="F561" s="3" t="s">
        <v>729</v>
      </c>
      <c r="G561" s="3">
        <v>1</v>
      </c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</row>
    <row r="562" spans="1:70" ht="15" x14ac:dyDescent="0.25">
      <c r="A562">
        <v>3</v>
      </c>
      <c r="B562" t="s">
        <v>2673</v>
      </c>
      <c r="C562">
        <v>30</v>
      </c>
      <c r="D562" s="128">
        <v>7.3911373459289997E-2</v>
      </c>
      <c r="E562" s="11"/>
      <c r="F562" s="3" t="s">
        <v>730</v>
      </c>
      <c r="G562" s="3">
        <v>6.2870000000000005E-4</v>
      </c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  <c r="BM562" s="11"/>
      <c r="BN562" s="11"/>
      <c r="BO562" s="11"/>
      <c r="BP562" s="11"/>
      <c r="BQ562" s="11"/>
      <c r="BR562" s="11"/>
    </row>
    <row r="563" spans="1:70" ht="15" x14ac:dyDescent="0.25">
      <c r="A563">
        <v>3</v>
      </c>
      <c r="B563" t="s">
        <v>2673</v>
      </c>
      <c r="C563">
        <v>31</v>
      </c>
      <c r="D563" s="128">
        <v>7.9218091676440006E-2</v>
      </c>
      <c r="E563" s="11"/>
      <c r="F563" s="3" t="s">
        <v>731</v>
      </c>
      <c r="G563" s="3">
        <v>9.0450000000000003E-4</v>
      </c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</row>
    <row r="564" spans="1:70" ht="15" x14ac:dyDescent="0.25">
      <c r="A564">
        <v>3</v>
      </c>
      <c r="B564" t="s">
        <v>2673</v>
      </c>
      <c r="C564">
        <v>32</v>
      </c>
      <c r="D564" s="128">
        <v>8.4716519993829995E-2</v>
      </c>
      <c r="E564" s="11"/>
      <c r="F564" s="3" t="s">
        <v>732</v>
      </c>
      <c r="G564" s="3">
        <v>1.3752E-3</v>
      </c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</row>
    <row r="565" spans="1:70" ht="15" x14ac:dyDescent="0.25">
      <c r="A565">
        <v>3</v>
      </c>
      <c r="B565" t="s">
        <v>2673</v>
      </c>
      <c r="C565">
        <v>33</v>
      </c>
      <c r="D565" s="128">
        <v>9.0404459819760002E-2</v>
      </c>
      <c r="E565" s="11"/>
      <c r="F565" s="3" t="s">
        <v>733</v>
      </c>
      <c r="G565" s="3">
        <v>2.1518000000000002E-3</v>
      </c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  <c r="BM565" s="11"/>
      <c r="BN565" s="11"/>
      <c r="BO565" s="11"/>
      <c r="BP565" s="11"/>
      <c r="BQ565" s="11"/>
      <c r="BR565" s="11"/>
    </row>
    <row r="566" spans="1:70" ht="15" x14ac:dyDescent="0.25">
      <c r="A566">
        <v>3</v>
      </c>
      <c r="B566" t="s">
        <v>2673</v>
      </c>
      <c r="C566">
        <v>34</v>
      </c>
      <c r="D566" s="128">
        <v>9.6279691695699998E-2</v>
      </c>
      <c r="E566" s="11"/>
      <c r="F566" s="3" t="s">
        <v>734</v>
      </c>
      <c r="G566" s="3">
        <v>3.0488999999999998E-3</v>
      </c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  <c r="BM566" s="11"/>
      <c r="BN566" s="11"/>
      <c r="BO566" s="11"/>
      <c r="BP566" s="11"/>
      <c r="BQ566" s="11"/>
      <c r="BR566" s="11"/>
    </row>
    <row r="567" spans="1:70" ht="15" x14ac:dyDescent="0.25">
      <c r="A567">
        <v>3</v>
      </c>
      <c r="B567" t="s">
        <v>2673</v>
      </c>
      <c r="C567">
        <v>35</v>
      </c>
      <c r="D567" s="128">
        <v>0.10234002543011</v>
      </c>
      <c r="E567" s="11"/>
      <c r="F567" s="3" t="s">
        <v>735</v>
      </c>
      <c r="G567" s="3">
        <v>4.5132000000000002E-3</v>
      </c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  <c r="BM567" s="11"/>
      <c r="BN567" s="11"/>
      <c r="BO567" s="11"/>
      <c r="BP567" s="11"/>
      <c r="BQ567" s="11"/>
      <c r="BR567" s="11"/>
    </row>
    <row r="568" spans="1:70" ht="15" x14ac:dyDescent="0.25">
      <c r="A568">
        <v>3</v>
      </c>
      <c r="B568" t="s">
        <v>2673</v>
      </c>
      <c r="C568">
        <v>36</v>
      </c>
      <c r="D568" s="128">
        <v>0.10858298917446001</v>
      </c>
      <c r="E568" s="11"/>
      <c r="F568" s="3" t="s">
        <v>736</v>
      </c>
      <c r="G568" s="3">
        <v>7.8242999999999993E-3</v>
      </c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  <c r="BM568" s="11"/>
      <c r="BN568" s="11"/>
      <c r="BO568" s="11"/>
      <c r="BP568" s="11"/>
      <c r="BQ568" s="11"/>
      <c r="BR568" s="11"/>
    </row>
    <row r="569" spans="1:70" ht="15" x14ac:dyDescent="0.25">
      <c r="A569">
        <v>3</v>
      </c>
      <c r="B569" t="s">
        <v>2673</v>
      </c>
      <c r="C569">
        <v>37</v>
      </c>
      <c r="D569" s="128">
        <v>0.11500508699028</v>
      </c>
      <c r="E569" s="11"/>
      <c r="F569" s="3" t="s">
        <v>737</v>
      </c>
      <c r="G569" s="3">
        <v>1.39457E-2</v>
      </c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  <c r="BM569" s="11"/>
      <c r="BN569" s="11"/>
      <c r="BO569" s="11"/>
      <c r="BP569" s="11"/>
      <c r="BQ569" s="11"/>
      <c r="BR569" s="11"/>
    </row>
    <row r="570" spans="1:70" ht="15" x14ac:dyDescent="0.25">
      <c r="A570">
        <v>3</v>
      </c>
      <c r="B570" t="s">
        <v>2673</v>
      </c>
      <c r="C570">
        <v>38</v>
      </c>
      <c r="D570" s="128">
        <v>0.12160436658624001</v>
      </c>
      <c r="E570" s="11"/>
      <c r="F570" s="3" t="s">
        <v>738</v>
      </c>
      <c r="G570" s="3">
        <v>2.4996899999999999E-2</v>
      </c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  <c r="BM570" s="11"/>
      <c r="BN570" s="11"/>
      <c r="BO570" s="11"/>
      <c r="BP570" s="11"/>
      <c r="BQ570" s="11"/>
      <c r="BR570" s="11"/>
    </row>
    <row r="571" spans="1:70" ht="15" x14ac:dyDescent="0.25">
      <c r="A571">
        <v>3</v>
      </c>
      <c r="B571" t="s">
        <v>2673</v>
      </c>
      <c r="C571">
        <v>39</v>
      </c>
      <c r="D571" s="128">
        <v>0.12837675799674</v>
      </c>
      <c r="E571" s="11"/>
      <c r="F571" s="3" t="s">
        <v>739</v>
      </c>
      <c r="G571" s="3">
        <v>4.0533899999999998E-2</v>
      </c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  <c r="BM571" s="11"/>
      <c r="BN571" s="11"/>
      <c r="BO571" s="11"/>
      <c r="BP571" s="11"/>
      <c r="BQ571" s="11"/>
      <c r="BR571" s="11"/>
    </row>
    <row r="572" spans="1:70" ht="15" x14ac:dyDescent="0.25">
      <c r="A572">
        <v>3</v>
      </c>
      <c r="B572" t="s">
        <v>2673</v>
      </c>
      <c r="C572">
        <v>40</v>
      </c>
      <c r="D572" s="128">
        <v>0.13531983532611999</v>
      </c>
      <c r="E572" s="11"/>
      <c r="F572" s="3" t="s">
        <v>740</v>
      </c>
      <c r="G572" s="3">
        <v>7.9909900000000006E-2</v>
      </c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  <c r="BM572" s="11"/>
      <c r="BN572" s="11"/>
      <c r="BO572" s="11"/>
      <c r="BP572" s="11"/>
      <c r="BQ572" s="11"/>
      <c r="BR572" s="11"/>
    </row>
    <row r="573" spans="1:70" ht="15" x14ac:dyDescent="0.25">
      <c r="A573">
        <v>3</v>
      </c>
      <c r="B573" t="s">
        <v>2673</v>
      </c>
      <c r="C573">
        <v>41</v>
      </c>
      <c r="D573" s="128">
        <v>0.14254945080418999</v>
      </c>
      <c r="E573" s="11"/>
      <c r="F573" s="3" t="s">
        <v>741</v>
      </c>
      <c r="G573" s="3">
        <v>0.162831</v>
      </c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  <c r="BM573" s="11"/>
      <c r="BN573" s="11"/>
      <c r="BO573" s="11"/>
      <c r="BP573" s="11"/>
      <c r="BQ573" s="11"/>
      <c r="BR573" s="11"/>
    </row>
    <row r="574" spans="1:70" ht="15" x14ac:dyDescent="0.25">
      <c r="A574">
        <v>3</v>
      </c>
      <c r="B574" t="s">
        <v>2673</v>
      </c>
      <c r="C574">
        <v>42</v>
      </c>
      <c r="D574" s="128">
        <v>0.15007618109762999</v>
      </c>
      <c r="E574" s="11"/>
      <c r="F574" s="3" t="s">
        <v>742</v>
      </c>
      <c r="G574" s="3">
        <v>0.25053799999999998</v>
      </c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  <c r="BM574" s="11"/>
      <c r="BN574" s="11"/>
      <c r="BO574" s="11"/>
      <c r="BP574" s="11"/>
      <c r="BQ574" s="11"/>
      <c r="BR574" s="11"/>
    </row>
    <row r="575" spans="1:70" ht="15" x14ac:dyDescent="0.25">
      <c r="A575">
        <v>3</v>
      </c>
      <c r="B575" t="s">
        <v>2673</v>
      </c>
      <c r="C575">
        <v>43</v>
      </c>
      <c r="D575" s="128">
        <v>0.15791097098901999</v>
      </c>
      <c r="E575" s="11"/>
      <c r="F575" s="3" t="s">
        <v>743</v>
      </c>
      <c r="G575" s="3">
        <v>0.36447800000000002</v>
      </c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  <c r="BQ575" s="11"/>
      <c r="BR575" s="11"/>
    </row>
    <row r="576" spans="1:70" ht="15" x14ac:dyDescent="0.25">
      <c r="A576">
        <v>3</v>
      </c>
      <c r="B576" t="s">
        <v>2673</v>
      </c>
      <c r="C576">
        <v>44</v>
      </c>
      <c r="D576" s="128">
        <v>0.16606514578680001</v>
      </c>
      <c r="E576" s="11"/>
      <c r="F576" s="3" t="s">
        <v>744</v>
      </c>
      <c r="G576" s="3">
        <v>1</v>
      </c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  <c r="BQ576" s="11"/>
      <c r="BR576" s="11"/>
    </row>
    <row r="577" spans="1:70" ht="15" x14ac:dyDescent="0.25">
      <c r="A577">
        <v>3</v>
      </c>
      <c r="B577" t="s">
        <v>2673</v>
      </c>
      <c r="C577">
        <v>45</v>
      </c>
      <c r="D577" s="128">
        <v>0.17455042414874999</v>
      </c>
      <c r="E577" s="11"/>
      <c r="F577" s="3" t="s">
        <v>745</v>
      </c>
      <c r="G577" s="3">
        <v>1</v>
      </c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  <c r="BQ577" s="11"/>
      <c r="BR577" s="11"/>
    </row>
    <row r="578" spans="1:70" ht="15" x14ac:dyDescent="0.25">
      <c r="A578">
        <v>3</v>
      </c>
      <c r="B578" t="s">
        <v>2673</v>
      </c>
      <c r="C578">
        <v>46</v>
      </c>
      <c r="D578" s="128">
        <v>0.18337893133270999</v>
      </c>
      <c r="E578" s="11"/>
      <c r="F578" s="3" t="s">
        <v>746</v>
      </c>
      <c r="G578" s="3">
        <v>1</v>
      </c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  <c r="BQ578" s="11"/>
      <c r="BR578" s="11"/>
    </row>
    <row r="579" spans="1:70" ht="15" x14ac:dyDescent="0.25">
      <c r="A579">
        <v>3</v>
      </c>
      <c r="B579" t="s">
        <v>2673</v>
      </c>
      <c r="C579">
        <v>47</v>
      </c>
      <c r="D579" s="128">
        <v>0.19256321288920999</v>
      </c>
      <c r="E579" s="11"/>
      <c r="F579" s="3" t="s">
        <v>747</v>
      </c>
      <c r="G579" s="3">
        <v>3.07018E-3</v>
      </c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  <c r="BQ579" s="11"/>
      <c r="BR579" s="11"/>
    </row>
    <row r="580" spans="1:70" ht="15" x14ac:dyDescent="0.25">
      <c r="A580">
        <v>3</v>
      </c>
      <c r="B580" t="s">
        <v>2673</v>
      </c>
      <c r="C580">
        <v>48</v>
      </c>
      <c r="D580" s="128">
        <v>0.20211624881057999</v>
      </c>
      <c r="E580" s="11"/>
      <c r="F580" s="3" t="s">
        <v>748</v>
      </c>
      <c r="G580" s="3">
        <v>4.4445400000000003E-3</v>
      </c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  <c r="BQ580" s="11"/>
      <c r="BR580" s="11"/>
    </row>
    <row r="581" spans="1:70" ht="15" x14ac:dyDescent="0.25">
      <c r="A581">
        <v>3</v>
      </c>
      <c r="B581" t="s">
        <v>2673</v>
      </c>
      <c r="C581">
        <v>49</v>
      </c>
      <c r="D581" s="128">
        <v>0.21205146815227999</v>
      </c>
      <c r="E581" s="11"/>
      <c r="F581" s="3" t="s">
        <v>749</v>
      </c>
      <c r="G581" s="3">
        <v>7.5560000000000002E-3</v>
      </c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  <c r="BQ581" s="11"/>
      <c r="BR581" s="11"/>
    </row>
    <row r="582" spans="1:70" ht="15" x14ac:dyDescent="0.25">
      <c r="A582">
        <v>3</v>
      </c>
      <c r="B582" t="s">
        <v>2673</v>
      </c>
      <c r="C582">
        <v>50</v>
      </c>
      <c r="D582" s="128">
        <v>0.22238276414225</v>
      </c>
      <c r="E582" s="11"/>
      <c r="F582" s="3" t="s">
        <v>750</v>
      </c>
      <c r="G582" s="3">
        <v>1.3210009999999999E-2</v>
      </c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  <c r="BQ582" s="11"/>
      <c r="BR582" s="11"/>
    </row>
    <row r="583" spans="1:70" ht="15" x14ac:dyDescent="0.25">
      <c r="A583">
        <v>21</v>
      </c>
      <c r="B583" t="s">
        <v>2674</v>
      </c>
      <c r="C583">
        <v>1</v>
      </c>
      <c r="D583" s="128">
        <v>100000</v>
      </c>
      <c r="E583" s="11"/>
      <c r="F583" s="3" t="s">
        <v>751</v>
      </c>
      <c r="G583" s="3">
        <v>2.3749880000000001E-2</v>
      </c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  <c r="BQ583" s="11"/>
      <c r="BR583" s="11"/>
    </row>
    <row r="584" spans="1:70" ht="15" x14ac:dyDescent="0.25">
      <c r="A584">
        <v>22</v>
      </c>
      <c r="B584" t="s">
        <v>2675</v>
      </c>
      <c r="C584">
        <v>1</v>
      </c>
      <c r="D584" s="128">
        <v>100000</v>
      </c>
      <c r="E584" s="11"/>
      <c r="F584" s="3" t="s">
        <v>752</v>
      </c>
      <c r="G584" s="3">
        <v>4.3910339999999999E-2</v>
      </c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  <c r="BM584" s="11"/>
      <c r="BN584" s="11"/>
      <c r="BO584" s="11"/>
      <c r="BP584" s="11"/>
      <c r="BQ584" s="11"/>
      <c r="BR584" s="11"/>
    </row>
    <row r="585" spans="1:70" ht="15" x14ac:dyDescent="0.25">
      <c r="A585">
        <v>23</v>
      </c>
      <c r="B585" t="s">
        <v>2676</v>
      </c>
      <c r="C585">
        <v>1</v>
      </c>
      <c r="D585" s="128">
        <v>100000</v>
      </c>
      <c r="E585" s="11"/>
      <c r="F585" s="3" t="s">
        <v>753</v>
      </c>
      <c r="G585" s="3">
        <v>8.3487039999999998E-2</v>
      </c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  <c r="BM585" s="11"/>
      <c r="BN585" s="11"/>
      <c r="BO585" s="11"/>
      <c r="BP585" s="11"/>
      <c r="BQ585" s="11"/>
      <c r="BR585" s="11"/>
    </row>
    <row r="586" spans="1:70" ht="15" x14ac:dyDescent="0.25">
      <c r="A586">
        <v>4</v>
      </c>
      <c r="B586" t="s">
        <v>2677</v>
      </c>
      <c r="C586">
        <v>1</v>
      </c>
      <c r="D586" s="128">
        <v>4.0008002134E-4</v>
      </c>
      <c r="E586" s="11"/>
      <c r="F586" s="3" t="s">
        <v>754</v>
      </c>
      <c r="G586" s="3">
        <v>0.16323687000000001</v>
      </c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  <c r="BM586" s="11"/>
      <c r="BN586" s="11"/>
      <c r="BO586" s="11"/>
      <c r="BP586" s="11"/>
      <c r="BQ586" s="11"/>
      <c r="BR586" s="11"/>
    </row>
    <row r="587" spans="1:70" ht="15" x14ac:dyDescent="0.25">
      <c r="A587">
        <v>4</v>
      </c>
      <c r="B587" t="s">
        <v>2677</v>
      </c>
      <c r="C587">
        <v>2</v>
      </c>
      <c r="D587" s="128">
        <v>9.1711568727999998E-4</v>
      </c>
      <c r="E587" s="11"/>
      <c r="F587" s="3" t="s">
        <v>755</v>
      </c>
      <c r="G587" s="3">
        <v>0.25</v>
      </c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  <c r="BM587" s="11"/>
      <c r="BN587" s="11"/>
      <c r="BO587" s="11"/>
      <c r="BP587" s="11"/>
      <c r="BQ587" s="11"/>
      <c r="BR587" s="11"/>
    </row>
    <row r="588" spans="1:70" ht="15" x14ac:dyDescent="0.25">
      <c r="A588">
        <v>4</v>
      </c>
      <c r="B588" t="s">
        <v>2677</v>
      </c>
      <c r="C588">
        <v>3</v>
      </c>
      <c r="D588" s="128">
        <v>1.5715863605099999E-3</v>
      </c>
      <c r="E588" s="11"/>
      <c r="F588" s="3" t="s">
        <v>756</v>
      </c>
      <c r="G588" s="3">
        <v>0.35</v>
      </c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  <c r="BM588" s="11"/>
      <c r="BN588" s="11"/>
      <c r="BO588" s="11"/>
      <c r="BP588" s="11"/>
      <c r="BQ588" s="11"/>
      <c r="BR588" s="11"/>
    </row>
    <row r="589" spans="1:70" ht="15" x14ac:dyDescent="0.25">
      <c r="A589">
        <v>4</v>
      </c>
      <c r="B589" t="s">
        <v>2677</v>
      </c>
      <c r="C589">
        <v>4</v>
      </c>
      <c r="D589" s="128">
        <v>2.5250833710199999E-3</v>
      </c>
      <c r="E589" s="11"/>
      <c r="F589" s="3" t="s">
        <v>757</v>
      </c>
      <c r="G589" s="3">
        <v>1</v>
      </c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</row>
    <row r="590" spans="1:70" ht="15" x14ac:dyDescent="0.25">
      <c r="A590">
        <v>4</v>
      </c>
      <c r="B590" t="s">
        <v>2677</v>
      </c>
      <c r="C590">
        <v>5</v>
      </c>
      <c r="D590" s="128">
        <v>3.53454413484E-3</v>
      </c>
      <c r="E590" s="11"/>
      <c r="F590" s="3" t="s">
        <v>758</v>
      </c>
      <c r="G590" s="3">
        <v>1</v>
      </c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  <c r="BQ590" s="11"/>
      <c r="BR590" s="11"/>
    </row>
    <row r="591" spans="1:70" ht="15" x14ac:dyDescent="0.25">
      <c r="A591">
        <v>4</v>
      </c>
      <c r="B591" t="s">
        <v>2677</v>
      </c>
      <c r="C591">
        <v>6</v>
      </c>
      <c r="D591" s="128">
        <v>4.8345431995099998E-3</v>
      </c>
      <c r="E591" s="11"/>
      <c r="F591" s="3" t="s">
        <v>759</v>
      </c>
      <c r="G591" s="3">
        <v>1</v>
      </c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  <c r="BQ591" s="11"/>
      <c r="BR591" s="11"/>
    </row>
    <row r="592" spans="1:70" ht="15" x14ac:dyDescent="0.25">
      <c r="A592">
        <v>4</v>
      </c>
      <c r="B592" t="s">
        <v>2677</v>
      </c>
      <c r="C592">
        <v>7</v>
      </c>
      <c r="D592" s="128">
        <v>6.3354391861400001E-3</v>
      </c>
      <c r="E592" s="11"/>
      <c r="F592" s="3" t="s">
        <v>760</v>
      </c>
      <c r="G592" s="3">
        <v>1.03E-4</v>
      </c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  <c r="BQ592" s="11"/>
      <c r="BR592" s="11"/>
    </row>
    <row r="593" spans="1:70" ht="15" x14ac:dyDescent="0.25">
      <c r="A593">
        <v>4</v>
      </c>
      <c r="B593" t="s">
        <v>2677</v>
      </c>
      <c r="C593">
        <v>8</v>
      </c>
      <c r="D593" s="128">
        <v>8.0411745973599999E-3</v>
      </c>
      <c r="E593" s="11"/>
      <c r="F593" s="3" t="s">
        <v>761</v>
      </c>
      <c r="G593" s="3">
        <v>2.0599999999999999E-4</v>
      </c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  <c r="BQ593" s="11"/>
      <c r="BR593" s="11"/>
    </row>
    <row r="594" spans="1:70" ht="15" x14ac:dyDescent="0.25">
      <c r="A594">
        <v>4</v>
      </c>
      <c r="B594" t="s">
        <v>2677</v>
      </c>
      <c r="C594">
        <v>9</v>
      </c>
      <c r="D594" s="128">
        <v>9.9560492112300003E-3</v>
      </c>
      <c r="E594" s="11"/>
      <c r="F594" s="3" t="s">
        <v>762</v>
      </c>
      <c r="G594" s="3">
        <v>3.0899999999999998E-4</v>
      </c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  <c r="BQ594" s="11"/>
      <c r="BR594" s="11"/>
    </row>
    <row r="595" spans="1:70" ht="15" x14ac:dyDescent="0.25">
      <c r="A595">
        <v>4</v>
      </c>
      <c r="B595" t="s">
        <v>2677</v>
      </c>
      <c r="C595">
        <v>10</v>
      </c>
      <c r="D595" s="128">
        <v>1.208466291023E-2</v>
      </c>
      <c r="E595" s="11"/>
      <c r="F595" s="3" t="s">
        <v>763</v>
      </c>
      <c r="G595" s="3">
        <v>4.1199999999999999E-4</v>
      </c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</row>
    <row r="596" spans="1:70" ht="15" x14ac:dyDescent="0.25">
      <c r="A596">
        <v>4</v>
      </c>
      <c r="B596" t="s">
        <v>2677</v>
      </c>
      <c r="C596">
        <v>11</v>
      </c>
      <c r="D596" s="128">
        <v>1.443137647556E-2</v>
      </c>
      <c r="E596" s="11"/>
      <c r="F596" s="3" t="s">
        <v>764</v>
      </c>
      <c r="G596" s="3">
        <v>5.1500000000000005E-4</v>
      </c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  <c r="BQ596" s="11"/>
      <c r="BR596" s="11"/>
    </row>
    <row r="597" spans="1:70" ht="15" x14ac:dyDescent="0.25">
      <c r="A597">
        <v>4</v>
      </c>
      <c r="B597" t="s">
        <v>2677</v>
      </c>
      <c r="C597">
        <v>12</v>
      </c>
      <c r="D597" s="128">
        <v>1.7000460703320001E-2</v>
      </c>
      <c r="E597" s="11"/>
      <c r="F597" s="3" t="s">
        <v>765</v>
      </c>
      <c r="G597" s="3">
        <v>6.2074999999999999E-4</v>
      </c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  <c r="BQ597" s="11"/>
      <c r="BR597" s="11"/>
    </row>
    <row r="598" spans="1:70" ht="15" x14ac:dyDescent="0.25">
      <c r="A598">
        <v>4</v>
      </c>
      <c r="B598" t="s">
        <v>2677</v>
      </c>
      <c r="C598">
        <v>13</v>
      </c>
      <c r="D598" s="128">
        <v>1.9795924205700002E-2</v>
      </c>
      <c r="E598" s="11"/>
      <c r="F598" s="3" t="s">
        <v>766</v>
      </c>
      <c r="G598" s="3">
        <v>9.1759000000000003E-4</v>
      </c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  <c r="BQ598" s="11"/>
      <c r="BR598" s="11"/>
    </row>
    <row r="599" spans="1:70" ht="15" x14ac:dyDescent="0.25">
      <c r="A599">
        <v>4</v>
      </c>
      <c r="B599" t="s">
        <v>2677</v>
      </c>
      <c r="C599">
        <v>14</v>
      </c>
      <c r="D599" s="128">
        <v>2.2821341099649999E-2</v>
      </c>
      <c r="E599" s="11"/>
      <c r="F599" s="3" t="s">
        <v>767</v>
      </c>
      <c r="G599" s="3">
        <v>1.3948400000000001E-3</v>
      </c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  <c r="BQ599" s="11"/>
      <c r="BR599" s="11"/>
    </row>
    <row r="600" spans="1:70" ht="15" x14ac:dyDescent="0.25">
      <c r="A600">
        <v>4</v>
      </c>
      <c r="B600" t="s">
        <v>2677</v>
      </c>
      <c r="C600">
        <v>15</v>
      </c>
      <c r="D600" s="128">
        <v>2.608002301607E-2</v>
      </c>
      <c r="E600" s="11"/>
      <c r="F600" s="3" t="s">
        <v>768</v>
      </c>
      <c r="G600" s="3">
        <v>2.1246300000000002E-3</v>
      </c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</row>
    <row r="601" spans="1:70" ht="15" x14ac:dyDescent="0.25">
      <c r="A601">
        <v>4</v>
      </c>
      <c r="B601" t="s">
        <v>2677</v>
      </c>
      <c r="C601">
        <v>16</v>
      </c>
      <c r="D601" s="128">
        <v>2.9574410402779999E-2</v>
      </c>
      <c r="E601" s="11"/>
      <c r="F601" s="3" t="s">
        <v>769</v>
      </c>
      <c r="G601" s="3">
        <v>3.07018E-3</v>
      </c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  <c r="BM601" s="11"/>
      <c r="BN601" s="11"/>
      <c r="BO601" s="11"/>
      <c r="BP601" s="11"/>
      <c r="BQ601" s="11"/>
      <c r="BR601" s="11"/>
    </row>
    <row r="602" spans="1:70" ht="15" x14ac:dyDescent="0.25">
      <c r="A602">
        <v>4</v>
      </c>
      <c r="B602" t="s">
        <v>2677</v>
      </c>
      <c r="C602">
        <v>17</v>
      </c>
      <c r="D602" s="128">
        <v>3.3306818505819999E-2</v>
      </c>
      <c r="E602" s="11"/>
      <c r="F602" s="3" t="s">
        <v>770</v>
      </c>
      <c r="G602" s="3">
        <v>4.4445400000000003E-3</v>
      </c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  <c r="BM602" s="11"/>
      <c r="BN602" s="11"/>
      <c r="BO602" s="11"/>
      <c r="BP602" s="11"/>
      <c r="BQ602" s="11"/>
      <c r="BR602" s="11"/>
    </row>
    <row r="603" spans="1:70" ht="15" x14ac:dyDescent="0.25">
      <c r="A603">
        <v>4</v>
      </c>
      <c r="B603" t="s">
        <v>2677</v>
      </c>
      <c r="C603">
        <v>18</v>
      </c>
      <c r="D603" s="128">
        <v>3.7278874538559999E-2</v>
      </c>
      <c r="E603" s="11"/>
      <c r="F603" s="3" t="s">
        <v>771</v>
      </c>
      <c r="G603" s="3">
        <v>7.5560000000000002E-3</v>
      </c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  <c r="BM603" s="11"/>
      <c r="BN603" s="11"/>
      <c r="BO603" s="11"/>
      <c r="BP603" s="11"/>
      <c r="BQ603" s="11"/>
      <c r="BR603" s="11"/>
    </row>
    <row r="604" spans="1:70" ht="15" x14ac:dyDescent="0.25">
      <c r="A604">
        <v>4</v>
      </c>
      <c r="B604" t="s">
        <v>2677</v>
      </c>
      <c r="C604">
        <v>19</v>
      </c>
      <c r="D604" s="128">
        <v>4.1491620678379998E-2</v>
      </c>
      <c r="E604" s="11"/>
      <c r="F604" s="3" t="s">
        <v>772</v>
      </c>
      <c r="G604" s="3">
        <v>1.3210009999999999E-2</v>
      </c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  <c r="BM604" s="11"/>
      <c r="BN604" s="11"/>
      <c r="BO604" s="11"/>
      <c r="BP604" s="11"/>
      <c r="BQ604" s="11"/>
      <c r="BR604" s="11"/>
    </row>
    <row r="605" spans="1:70" ht="15" x14ac:dyDescent="0.25">
      <c r="A605">
        <v>4</v>
      </c>
      <c r="B605" t="s">
        <v>2677</v>
      </c>
      <c r="C605">
        <v>20</v>
      </c>
      <c r="D605" s="128">
        <v>4.594568605109E-2</v>
      </c>
      <c r="E605" s="11"/>
      <c r="F605" s="3" t="s">
        <v>773</v>
      </c>
      <c r="G605" s="3">
        <v>2.3749880000000001E-2</v>
      </c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  <c r="BM605" s="11"/>
      <c r="BN605" s="11"/>
      <c r="BO605" s="11"/>
      <c r="BP605" s="11"/>
      <c r="BQ605" s="11"/>
      <c r="BR605" s="11"/>
    </row>
    <row r="606" spans="1:70" ht="15" x14ac:dyDescent="0.25">
      <c r="A606">
        <v>4</v>
      </c>
      <c r="B606" t="s">
        <v>2677</v>
      </c>
      <c r="C606">
        <v>21</v>
      </c>
      <c r="D606" s="128">
        <v>5.0641286492719997E-2</v>
      </c>
      <c r="E606" s="11"/>
      <c r="F606" s="3" t="s">
        <v>774</v>
      </c>
      <c r="G606" s="3">
        <v>4.3910339999999999E-2</v>
      </c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  <c r="BM606" s="11"/>
      <c r="BN606" s="11"/>
      <c r="BO606" s="11"/>
      <c r="BP606" s="11"/>
      <c r="BQ606" s="11"/>
      <c r="BR606" s="11"/>
    </row>
    <row r="607" spans="1:70" ht="15" x14ac:dyDescent="0.25">
      <c r="A607">
        <v>4</v>
      </c>
      <c r="B607" t="s">
        <v>2677</v>
      </c>
      <c r="C607">
        <v>22</v>
      </c>
      <c r="D607" s="128">
        <v>5.5577971521550001E-2</v>
      </c>
      <c r="E607" s="11"/>
      <c r="F607" s="3" t="s">
        <v>775</v>
      </c>
      <c r="G607" s="3">
        <v>8.3487039999999998E-2</v>
      </c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  <c r="BM607" s="11"/>
      <c r="BN607" s="11"/>
      <c r="BO607" s="11"/>
      <c r="BP607" s="11"/>
      <c r="BQ607" s="11"/>
      <c r="BR607" s="11"/>
    </row>
    <row r="608" spans="1:70" ht="15" x14ac:dyDescent="0.25">
      <c r="A608">
        <v>4</v>
      </c>
      <c r="B608" t="s">
        <v>2677</v>
      </c>
      <c r="C608">
        <v>23</v>
      </c>
      <c r="D608" s="128">
        <v>6.075456649074E-2</v>
      </c>
      <c r="E608" s="11"/>
      <c r="F608" s="3" t="s">
        <v>776</v>
      </c>
      <c r="G608" s="3">
        <v>0.16323687000000001</v>
      </c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  <c r="BM608" s="11"/>
      <c r="BN608" s="11"/>
      <c r="BO608" s="11"/>
      <c r="BP608" s="11"/>
      <c r="BQ608" s="11"/>
      <c r="BR608" s="11"/>
    </row>
    <row r="609" spans="1:70" ht="15" x14ac:dyDescent="0.25">
      <c r="A609">
        <v>4</v>
      </c>
      <c r="B609" t="s">
        <v>2677</v>
      </c>
      <c r="C609">
        <v>24</v>
      </c>
      <c r="D609" s="128">
        <v>6.6169942191619993E-2</v>
      </c>
      <c r="E609" s="11"/>
      <c r="F609" s="3" t="s">
        <v>777</v>
      </c>
      <c r="G609" s="3">
        <v>0.25</v>
      </c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  <c r="BM609" s="11"/>
      <c r="BN609" s="11"/>
      <c r="BO609" s="11"/>
      <c r="BP609" s="11"/>
      <c r="BQ609" s="11"/>
      <c r="BR609" s="11"/>
    </row>
    <row r="610" spans="1:70" ht="15" x14ac:dyDescent="0.25">
      <c r="A610">
        <v>4</v>
      </c>
      <c r="B610" t="s">
        <v>2677</v>
      </c>
      <c r="C610">
        <v>25</v>
      </c>
      <c r="D610" s="128">
        <v>7.1822555101320004E-2</v>
      </c>
      <c r="E610" s="11"/>
      <c r="F610" s="3" t="s">
        <v>778</v>
      </c>
      <c r="G610" s="3">
        <v>0.35</v>
      </c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  <c r="BM610" s="11"/>
      <c r="BN610" s="11"/>
      <c r="BO610" s="11"/>
      <c r="BP610" s="11"/>
      <c r="BQ610" s="11"/>
      <c r="BR610" s="11"/>
    </row>
    <row r="611" spans="1:70" ht="15" x14ac:dyDescent="0.25">
      <c r="A611">
        <v>4</v>
      </c>
      <c r="B611" t="s">
        <v>2677</v>
      </c>
      <c r="C611">
        <v>26</v>
      </c>
      <c r="D611" s="128">
        <v>7.7709849365200007E-2</v>
      </c>
      <c r="E611" s="11"/>
      <c r="F611" s="3" t="s">
        <v>779</v>
      </c>
      <c r="G611" s="3">
        <v>1</v>
      </c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  <c r="BM611" s="11"/>
      <c r="BN611" s="11"/>
      <c r="BO611" s="11"/>
      <c r="BP611" s="11"/>
      <c r="BQ611" s="11"/>
      <c r="BR611" s="11"/>
    </row>
    <row r="612" spans="1:70" ht="15" x14ac:dyDescent="0.25">
      <c r="A612">
        <v>4</v>
      </c>
      <c r="B612" t="s">
        <v>2677</v>
      </c>
      <c r="C612">
        <v>27</v>
      </c>
      <c r="D612" s="128">
        <v>8.38290724903E-2</v>
      </c>
      <c r="E612" s="11"/>
      <c r="F612" s="3" t="s">
        <v>780</v>
      </c>
      <c r="G612" s="3">
        <v>1</v>
      </c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  <c r="BM612" s="11"/>
      <c r="BN612" s="11"/>
      <c r="BO612" s="11"/>
      <c r="BP612" s="11"/>
      <c r="BQ612" s="11"/>
      <c r="BR612" s="11"/>
    </row>
    <row r="613" spans="1:70" ht="15" x14ac:dyDescent="0.25">
      <c r="A613">
        <v>4</v>
      </c>
      <c r="B613" t="s">
        <v>2677</v>
      </c>
      <c r="C613">
        <v>28</v>
      </c>
      <c r="D613" s="128">
        <v>9.0177976625690007E-2</v>
      </c>
      <c r="E613" s="11"/>
      <c r="F613" s="3" t="s">
        <v>781</v>
      </c>
      <c r="G613" s="3">
        <v>1</v>
      </c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  <c r="BM613" s="11"/>
      <c r="BN613" s="11"/>
      <c r="BO613" s="11"/>
      <c r="BP613" s="11"/>
      <c r="BQ613" s="11"/>
      <c r="BR613" s="11"/>
    </row>
    <row r="614" spans="1:70" ht="15" x14ac:dyDescent="0.25">
      <c r="A614">
        <v>4</v>
      </c>
      <c r="B614" t="s">
        <v>2677</v>
      </c>
      <c r="C614">
        <v>29</v>
      </c>
      <c r="D614" s="128">
        <v>9.6752990416320003E-2</v>
      </c>
      <c r="E614" s="11"/>
      <c r="F614" s="3" t="s">
        <v>782</v>
      </c>
      <c r="G614" s="3">
        <v>2.0665800000000002E-3</v>
      </c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  <c r="BM614" s="11"/>
      <c r="BN614" s="11"/>
      <c r="BO614" s="11"/>
      <c r="BP614" s="11"/>
      <c r="BQ614" s="11"/>
      <c r="BR614" s="11"/>
    </row>
    <row r="615" spans="1:70" ht="15" x14ac:dyDescent="0.25">
      <c r="A615">
        <v>4</v>
      </c>
      <c r="B615" t="s">
        <v>2677</v>
      </c>
      <c r="C615">
        <v>30</v>
      </c>
      <c r="D615" s="128">
        <v>0.10355077086967</v>
      </c>
      <c r="E615" s="11"/>
      <c r="F615" s="3" t="s">
        <v>783</v>
      </c>
      <c r="G615" s="3">
        <v>5.1123000000000002E-3</v>
      </c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  <c r="BM615" s="11"/>
      <c r="BN615" s="11"/>
      <c r="BO615" s="11"/>
      <c r="BP615" s="11"/>
      <c r="BQ615" s="11"/>
      <c r="BR615" s="11"/>
    </row>
    <row r="616" spans="1:70" ht="15" x14ac:dyDescent="0.25">
      <c r="A616">
        <v>4</v>
      </c>
      <c r="B616" t="s">
        <v>2677</v>
      </c>
      <c r="C616">
        <v>31</v>
      </c>
      <c r="D616" s="128">
        <v>0.11056760537720001</v>
      </c>
      <c r="E616" s="11"/>
      <c r="F616" s="3" t="s">
        <v>784</v>
      </c>
      <c r="G616" s="3">
        <v>8.7173400000000005E-3</v>
      </c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  <c r="BM616" s="11"/>
      <c r="BN616" s="11"/>
      <c r="BO616" s="11"/>
      <c r="BP616" s="11"/>
      <c r="BQ616" s="11"/>
      <c r="BR616" s="11"/>
    </row>
    <row r="617" spans="1:70" ht="15" x14ac:dyDescent="0.25">
      <c r="A617">
        <v>4</v>
      </c>
      <c r="B617" t="s">
        <v>2677</v>
      </c>
      <c r="C617">
        <v>32</v>
      </c>
      <c r="D617" s="128">
        <v>0.11779941151238001</v>
      </c>
      <c r="E617" s="11"/>
      <c r="F617" s="3" t="s">
        <v>785</v>
      </c>
      <c r="G617" s="3">
        <v>4.5383689999999997E-2</v>
      </c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  <c r="BM617" s="11"/>
      <c r="BN617" s="11"/>
      <c r="BO617" s="11"/>
      <c r="BP617" s="11"/>
      <c r="BQ617" s="11"/>
      <c r="BR617" s="11"/>
    </row>
    <row r="618" spans="1:70" ht="15" x14ac:dyDescent="0.25">
      <c r="A618">
        <v>4</v>
      </c>
      <c r="B618" t="s">
        <v>2677</v>
      </c>
      <c r="C618">
        <v>33</v>
      </c>
      <c r="D618" s="128">
        <v>0.12524211649489</v>
      </c>
      <c r="E618" s="11"/>
      <c r="F618" s="3" t="s">
        <v>786</v>
      </c>
      <c r="G618" s="3">
        <v>7.5605749999999999E-2</v>
      </c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  <c r="BM618" s="11"/>
      <c r="BN618" s="11"/>
      <c r="BO618" s="11"/>
      <c r="BP618" s="11"/>
      <c r="BQ618" s="11"/>
      <c r="BR618" s="11"/>
    </row>
    <row r="619" spans="1:70" ht="15" x14ac:dyDescent="0.25">
      <c r="A619">
        <v>4</v>
      </c>
      <c r="B619" t="s">
        <v>2677</v>
      </c>
      <c r="C619">
        <v>34</v>
      </c>
      <c r="D619" s="128">
        <v>0.13289132353357</v>
      </c>
      <c r="E619" s="11"/>
      <c r="F619" s="3" t="s">
        <v>787</v>
      </c>
      <c r="G619" s="3">
        <v>0.18921973</v>
      </c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  <c r="BM619" s="11"/>
      <c r="BN619" s="11"/>
      <c r="BO619" s="11"/>
      <c r="BP619" s="11"/>
      <c r="BQ619" s="11"/>
      <c r="BR619" s="11"/>
    </row>
    <row r="620" spans="1:70" ht="15" x14ac:dyDescent="0.25">
      <c r="A620">
        <v>4</v>
      </c>
      <c r="B620" t="s">
        <v>2677</v>
      </c>
      <c r="C620">
        <v>35</v>
      </c>
      <c r="D620" s="128">
        <v>0.14074311718810001</v>
      </c>
      <c r="E620" s="11"/>
      <c r="F620" s="3" t="s">
        <v>788</v>
      </c>
      <c r="G620" s="3">
        <v>0.25</v>
      </c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  <c r="BM620" s="11"/>
      <c r="BN620" s="11"/>
      <c r="BO620" s="11"/>
      <c r="BP620" s="11"/>
      <c r="BQ620" s="11"/>
      <c r="BR620" s="11"/>
    </row>
    <row r="621" spans="1:70" ht="15" x14ac:dyDescent="0.25">
      <c r="A621">
        <v>4</v>
      </c>
      <c r="B621" t="s">
        <v>2677</v>
      </c>
      <c r="C621">
        <v>36</v>
      </c>
      <c r="D621" s="128">
        <v>0.14879252148399999</v>
      </c>
      <c r="E621" s="11"/>
      <c r="F621" s="3" t="s">
        <v>789</v>
      </c>
      <c r="G621" s="3">
        <v>0.35</v>
      </c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  <c r="BM621" s="11"/>
      <c r="BN621" s="11"/>
      <c r="BO621" s="11"/>
      <c r="BP621" s="11"/>
      <c r="BQ621" s="11"/>
      <c r="BR621" s="11"/>
    </row>
    <row r="622" spans="1:70" ht="15" x14ac:dyDescent="0.25">
      <c r="A622">
        <v>4</v>
      </c>
      <c r="B622" t="s">
        <v>2677</v>
      </c>
      <c r="C622">
        <v>37</v>
      </c>
      <c r="D622" s="128">
        <v>0.15703466186091</v>
      </c>
      <c r="E622" s="11"/>
      <c r="F622" s="3" t="s">
        <v>790</v>
      </c>
      <c r="G622" s="3">
        <v>1</v>
      </c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  <c r="BM622" s="11"/>
      <c r="BN622" s="11"/>
      <c r="BO622" s="11"/>
      <c r="BP622" s="11"/>
      <c r="BQ622" s="11"/>
      <c r="BR622" s="11"/>
    </row>
    <row r="623" spans="1:70" ht="15" x14ac:dyDescent="0.25">
      <c r="A623">
        <v>4</v>
      </c>
      <c r="B623" t="s">
        <v>2677</v>
      </c>
      <c r="C623">
        <v>38</v>
      </c>
      <c r="D623" s="128">
        <v>0.16546569767742</v>
      </c>
      <c r="E623" s="11"/>
      <c r="F623" s="3" t="s">
        <v>791</v>
      </c>
      <c r="G623" s="3">
        <v>1</v>
      </c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  <c r="BM623" s="11"/>
      <c r="BN623" s="11"/>
      <c r="BO623" s="11"/>
      <c r="BP623" s="11"/>
      <c r="BQ623" s="11"/>
      <c r="BR623" s="11"/>
    </row>
    <row r="624" spans="1:70" ht="15" x14ac:dyDescent="0.25">
      <c r="A624">
        <v>4</v>
      </c>
      <c r="B624" t="s">
        <v>2677</v>
      </c>
      <c r="C624">
        <v>39</v>
      </c>
      <c r="D624" s="128">
        <v>0.17408030154991</v>
      </c>
      <c r="E624" s="11"/>
      <c r="F624" s="3" t="s">
        <v>792</v>
      </c>
      <c r="G624" s="3">
        <v>1</v>
      </c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  <c r="BM624" s="11"/>
      <c r="BN624" s="11"/>
      <c r="BO624" s="11"/>
      <c r="BP624" s="11"/>
      <c r="BQ624" s="11"/>
      <c r="BR624" s="11"/>
    </row>
    <row r="625" spans="1:70" ht="15" x14ac:dyDescent="0.25">
      <c r="A625">
        <v>4</v>
      </c>
      <c r="B625" t="s">
        <v>2677</v>
      </c>
      <c r="C625">
        <v>40</v>
      </c>
      <c r="D625" s="128">
        <v>0.18287424918375</v>
      </c>
      <c r="E625" s="11"/>
      <c r="F625" s="3" t="s">
        <v>793</v>
      </c>
      <c r="G625" s="3">
        <v>1.03E-4</v>
      </c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  <c r="BM625" s="11"/>
      <c r="BN625" s="11"/>
      <c r="BO625" s="11"/>
      <c r="BP625" s="11"/>
      <c r="BQ625" s="11"/>
      <c r="BR625" s="11"/>
    </row>
    <row r="626" spans="1:70" ht="15" x14ac:dyDescent="0.25">
      <c r="A626">
        <v>4</v>
      </c>
      <c r="B626" t="s">
        <v>2677</v>
      </c>
      <c r="C626">
        <v>41</v>
      </c>
      <c r="D626" s="128">
        <v>0.19199261927531999</v>
      </c>
      <c r="E626" s="11"/>
      <c r="F626" s="3" t="s">
        <v>794</v>
      </c>
      <c r="G626" s="3">
        <v>4.3910339999999999E-2</v>
      </c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  <c r="BM626" s="11"/>
      <c r="BN626" s="11"/>
      <c r="BO626" s="11"/>
      <c r="BP626" s="11"/>
      <c r="BQ626" s="11"/>
      <c r="BR626" s="11"/>
    </row>
    <row r="627" spans="1:70" ht="15" x14ac:dyDescent="0.25">
      <c r="A627">
        <v>4</v>
      </c>
      <c r="B627" t="s">
        <v>2677</v>
      </c>
      <c r="C627">
        <v>42</v>
      </c>
      <c r="D627" s="128">
        <v>0.20144600722559</v>
      </c>
      <c r="E627" s="11"/>
      <c r="F627" s="3" t="s">
        <v>795</v>
      </c>
      <c r="G627" s="3">
        <v>8.3487039999999998E-2</v>
      </c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  <c r="BM627" s="11"/>
      <c r="BN627" s="11"/>
      <c r="BO627" s="11"/>
      <c r="BP627" s="11"/>
      <c r="BQ627" s="11"/>
      <c r="BR627" s="11"/>
    </row>
    <row r="628" spans="1:70" ht="15" x14ac:dyDescent="0.25">
      <c r="A628">
        <v>4</v>
      </c>
      <c r="B628" t="s">
        <v>2677</v>
      </c>
      <c r="C628">
        <v>43</v>
      </c>
      <c r="D628" s="128">
        <v>0.21124533372796001</v>
      </c>
      <c r="E628" s="11"/>
      <c r="F628" s="3" t="s">
        <v>796</v>
      </c>
      <c r="G628" s="3">
        <v>1.03E-4</v>
      </c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  <c r="BM628" s="11"/>
      <c r="BN628" s="11"/>
      <c r="BO628" s="11"/>
      <c r="BP628" s="11"/>
      <c r="BQ628" s="11"/>
      <c r="BR628" s="11"/>
    </row>
    <row r="629" spans="1:70" ht="15" x14ac:dyDescent="0.25">
      <c r="A629">
        <v>4</v>
      </c>
      <c r="B629" t="s">
        <v>2677</v>
      </c>
      <c r="C629">
        <v>44</v>
      </c>
      <c r="D629" s="128">
        <v>0.22140185444551999</v>
      </c>
      <c r="E629" s="11"/>
      <c r="F629" s="3" t="s">
        <v>797</v>
      </c>
      <c r="G629" s="3">
        <v>2.0599999999999999E-4</v>
      </c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  <c r="BM629" s="11"/>
      <c r="BN629" s="11"/>
      <c r="BO629" s="11"/>
      <c r="BP629" s="11"/>
      <c r="BQ629" s="11"/>
      <c r="BR629" s="11"/>
    </row>
    <row r="630" spans="1:70" ht="15" x14ac:dyDescent="0.25">
      <c r="A630">
        <v>4</v>
      </c>
      <c r="B630" t="s">
        <v>2677</v>
      </c>
      <c r="C630">
        <v>45</v>
      </c>
      <c r="D630" s="128">
        <v>0.23192716997373</v>
      </c>
      <c r="E630" s="11"/>
      <c r="F630" s="3" t="s">
        <v>798</v>
      </c>
      <c r="G630" s="3">
        <v>3.0899999999999998E-4</v>
      </c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  <c r="BM630" s="11"/>
      <c r="BN630" s="11"/>
      <c r="BO630" s="11"/>
      <c r="BP630" s="11"/>
      <c r="BQ630" s="11"/>
      <c r="BR630" s="11"/>
    </row>
    <row r="631" spans="1:70" ht="15" x14ac:dyDescent="0.25">
      <c r="A631">
        <v>4</v>
      </c>
      <c r="B631" t="s">
        <v>2677</v>
      </c>
      <c r="C631">
        <v>46</v>
      </c>
      <c r="D631" s="128">
        <v>0.24283323609734001</v>
      </c>
      <c r="E631" s="11"/>
      <c r="F631" s="3" t="s">
        <v>799</v>
      </c>
      <c r="G631" s="3">
        <v>4.1199999999999999E-4</v>
      </c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  <c r="BM631" s="11"/>
      <c r="BN631" s="11"/>
      <c r="BO631" s="11"/>
      <c r="BP631" s="11"/>
      <c r="BQ631" s="11"/>
      <c r="BR631" s="11"/>
    </row>
    <row r="632" spans="1:70" ht="15" x14ac:dyDescent="0.25">
      <c r="A632">
        <v>4</v>
      </c>
      <c r="B632" t="s">
        <v>2677</v>
      </c>
      <c r="C632">
        <v>47</v>
      </c>
      <c r="D632" s="128">
        <v>0.25413237435016001</v>
      </c>
      <c r="E632" s="11"/>
      <c r="F632" s="3" t="s">
        <v>800</v>
      </c>
      <c r="G632" s="3">
        <v>5.1500000000000005E-4</v>
      </c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  <c r="BM632" s="11"/>
      <c r="BN632" s="11"/>
      <c r="BO632" s="11"/>
      <c r="BP632" s="11"/>
      <c r="BQ632" s="11"/>
      <c r="BR632" s="11"/>
    </row>
    <row r="633" spans="1:70" ht="15" x14ac:dyDescent="0.25">
      <c r="A633">
        <v>4</v>
      </c>
      <c r="B633" t="s">
        <v>2677</v>
      </c>
      <c r="C633">
        <v>48</v>
      </c>
      <c r="D633" s="128">
        <v>0.26583728288693997</v>
      </c>
      <c r="E633" s="11"/>
      <c r="F633" s="3" t="s">
        <v>801</v>
      </c>
      <c r="G633" s="3">
        <v>6.2074999999999999E-4</v>
      </c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  <c r="BM633" s="11"/>
      <c r="BN633" s="11"/>
      <c r="BO633" s="11"/>
      <c r="BP633" s="11"/>
      <c r="BQ633" s="11"/>
      <c r="BR633" s="11"/>
    </row>
    <row r="634" spans="1:70" ht="15" x14ac:dyDescent="0.25">
      <c r="A634">
        <v>4</v>
      </c>
      <c r="B634" t="s">
        <v>2677</v>
      </c>
      <c r="C634">
        <v>49</v>
      </c>
      <c r="D634" s="128">
        <v>0.27796104767676</v>
      </c>
      <c r="E634" s="11"/>
      <c r="F634" s="3" t="s">
        <v>802</v>
      </c>
      <c r="G634" s="3">
        <v>9.1759000000000003E-4</v>
      </c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  <c r="BM634" s="11"/>
      <c r="BN634" s="11"/>
      <c r="BO634" s="11"/>
      <c r="BP634" s="11"/>
      <c r="BQ634" s="11"/>
      <c r="BR634" s="11"/>
    </row>
    <row r="635" spans="1:70" ht="15" x14ac:dyDescent="0.25">
      <c r="A635">
        <v>4</v>
      </c>
      <c r="B635" t="s">
        <v>2677</v>
      </c>
      <c r="C635">
        <v>50</v>
      </c>
      <c r="D635" s="128">
        <v>0.29051715402763001</v>
      </c>
      <c r="E635" s="11"/>
      <c r="F635" s="3" t="s">
        <v>803</v>
      </c>
      <c r="G635" s="3">
        <v>1</v>
      </c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  <c r="BM635" s="11"/>
      <c r="BN635" s="11"/>
      <c r="BO635" s="11"/>
      <c r="BP635" s="11"/>
      <c r="BQ635" s="11"/>
      <c r="BR635" s="11"/>
    </row>
    <row r="636" spans="1:70" ht="15" x14ac:dyDescent="0.25">
      <c r="A636">
        <v>5</v>
      </c>
      <c r="B636" t="s">
        <v>2678</v>
      </c>
      <c r="C636">
        <v>1</v>
      </c>
      <c r="D636" s="128">
        <v>5.0012504167999997E-4</v>
      </c>
      <c r="E636" s="11"/>
      <c r="F636" s="3" t="s">
        <v>804</v>
      </c>
      <c r="G636" s="3">
        <v>0.16323687000000001</v>
      </c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  <c r="BM636" s="11"/>
      <c r="BN636" s="11"/>
      <c r="BO636" s="11"/>
      <c r="BP636" s="11"/>
      <c r="BQ636" s="11"/>
      <c r="BR636" s="11"/>
    </row>
    <row r="637" spans="1:70" ht="15" x14ac:dyDescent="0.25">
      <c r="A637">
        <v>5</v>
      </c>
      <c r="B637" t="s">
        <v>2678</v>
      </c>
      <c r="C637">
        <v>2</v>
      </c>
      <c r="D637" s="128">
        <v>1.0490535481500001E-3</v>
      </c>
      <c r="E637" s="11"/>
      <c r="F637" s="3" t="s">
        <v>805</v>
      </c>
      <c r="G637" s="3">
        <v>1.3948400000000001E-3</v>
      </c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  <c r="BM637" s="11"/>
      <c r="BN637" s="11"/>
      <c r="BO637" s="11"/>
      <c r="BP637" s="11"/>
      <c r="BQ637" s="11"/>
      <c r="BR637" s="11"/>
    </row>
    <row r="638" spans="1:70" ht="15" x14ac:dyDescent="0.25">
      <c r="A638">
        <v>5</v>
      </c>
      <c r="B638" t="s">
        <v>2678</v>
      </c>
      <c r="C638">
        <v>3</v>
      </c>
      <c r="D638" s="128">
        <v>1.9063198333299999E-3</v>
      </c>
      <c r="E638" s="11"/>
      <c r="F638" s="3" t="s">
        <v>806</v>
      </c>
      <c r="G638" s="3">
        <v>2.1246300000000002E-3</v>
      </c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  <c r="BM638" s="11"/>
      <c r="BN638" s="11"/>
      <c r="BO638" s="11"/>
      <c r="BP638" s="11"/>
      <c r="BQ638" s="11"/>
      <c r="BR638" s="11"/>
    </row>
    <row r="639" spans="1:70" ht="15" x14ac:dyDescent="0.25">
      <c r="A639">
        <v>5</v>
      </c>
      <c r="B639" t="s">
        <v>2678</v>
      </c>
      <c r="C639">
        <v>4</v>
      </c>
      <c r="D639" s="128">
        <v>3.1036053907699999E-3</v>
      </c>
      <c r="E639" s="11"/>
      <c r="F639" s="3" t="s">
        <v>807</v>
      </c>
      <c r="G639" s="3">
        <v>3.07018E-3</v>
      </c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  <c r="BM639" s="11"/>
      <c r="BN639" s="11"/>
      <c r="BO639" s="11"/>
      <c r="BP639" s="11"/>
      <c r="BQ639" s="11"/>
      <c r="BR639" s="11"/>
    </row>
    <row r="640" spans="1:70" ht="15" x14ac:dyDescent="0.25">
      <c r="A640">
        <v>5</v>
      </c>
      <c r="B640" t="s">
        <v>2678</v>
      </c>
      <c r="C640">
        <v>5</v>
      </c>
      <c r="D640" s="128">
        <v>4.3008657775400003E-3</v>
      </c>
      <c r="E640" s="11"/>
      <c r="F640" s="3" t="s">
        <v>808</v>
      </c>
      <c r="G640" s="3">
        <v>4.4445400000000003E-3</v>
      </c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  <c r="BM640" s="11"/>
      <c r="BN640" s="11"/>
      <c r="BO640" s="11"/>
      <c r="BP640" s="11"/>
      <c r="BQ640" s="11"/>
      <c r="BR640" s="11"/>
    </row>
    <row r="641" spans="1:70" ht="15" x14ac:dyDescent="0.25">
      <c r="A641">
        <v>5</v>
      </c>
      <c r="B641" t="s">
        <v>2678</v>
      </c>
      <c r="C641">
        <v>6</v>
      </c>
      <c r="D641" s="128">
        <v>5.8685212002100003E-3</v>
      </c>
      <c r="E641" s="11"/>
      <c r="F641" s="3" t="s">
        <v>809</v>
      </c>
      <c r="G641" s="3">
        <v>7.5560000000000002E-3</v>
      </c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  <c r="BM641" s="11"/>
      <c r="BN641" s="11"/>
      <c r="BO641" s="11"/>
      <c r="BP641" s="11"/>
      <c r="BQ641" s="11"/>
      <c r="BR641" s="11"/>
    </row>
    <row r="642" spans="1:70" ht="15" x14ac:dyDescent="0.25">
      <c r="A642">
        <v>5</v>
      </c>
      <c r="B642" t="s">
        <v>2678</v>
      </c>
      <c r="C642">
        <v>7</v>
      </c>
      <c r="D642" s="128">
        <v>7.67289935785E-3</v>
      </c>
      <c r="E642" s="11"/>
      <c r="F642" s="3" t="s">
        <v>810</v>
      </c>
      <c r="G642" s="3">
        <v>9.1759000000000003E-4</v>
      </c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  <c r="BM642" s="11"/>
      <c r="BN642" s="11"/>
      <c r="BO642" s="11"/>
      <c r="BP642" s="11"/>
      <c r="BQ642" s="11"/>
      <c r="BR642" s="11"/>
    </row>
    <row r="643" spans="1:70" ht="15" x14ac:dyDescent="0.25">
      <c r="A643">
        <v>5</v>
      </c>
      <c r="B643" t="s">
        <v>2678</v>
      </c>
      <c r="C643">
        <v>8</v>
      </c>
      <c r="D643" s="128">
        <v>9.7172863782100001E-3</v>
      </c>
      <c r="E643" s="11"/>
      <c r="F643" s="3" t="s">
        <v>811</v>
      </c>
      <c r="G643" s="3">
        <v>1E-4</v>
      </c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  <c r="BM643" s="11"/>
      <c r="BN643" s="11"/>
      <c r="BO643" s="11"/>
      <c r="BP643" s="11"/>
      <c r="BQ643" s="11"/>
      <c r="BR643" s="11"/>
    </row>
    <row r="644" spans="1:70" ht="15" x14ac:dyDescent="0.25">
      <c r="A644">
        <v>5</v>
      </c>
      <c r="B644" t="s">
        <v>2678</v>
      </c>
      <c r="C644">
        <v>9</v>
      </c>
      <c r="D644" s="128">
        <v>1.2004928479739999E-2</v>
      </c>
      <c r="E644" s="11"/>
      <c r="F644" s="3" t="s">
        <v>812</v>
      </c>
      <c r="G644" s="3">
        <v>0.16323687000000001</v>
      </c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  <c r="BM644" s="11"/>
      <c r="BN644" s="11"/>
      <c r="BO644" s="11"/>
      <c r="BP644" s="11"/>
      <c r="BQ644" s="11"/>
      <c r="BR644" s="11"/>
    </row>
    <row r="645" spans="1:70" ht="15" x14ac:dyDescent="0.25">
      <c r="A645">
        <v>5</v>
      </c>
      <c r="B645" t="s">
        <v>2678</v>
      </c>
      <c r="C645">
        <v>10</v>
      </c>
      <c r="D645" s="128">
        <v>1.4538409939399999E-2</v>
      </c>
      <c r="E645" s="11"/>
      <c r="F645" s="3" t="s">
        <v>813</v>
      </c>
      <c r="G645" s="3">
        <v>0.16323687000000001</v>
      </c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  <c r="BM645" s="11"/>
      <c r="BN645" s="11"/>
      <c r="BO645" s="11"/>
      <c r="BP645" s="11"/>
      <c r="BQ645" s="11"/>
      <c r="BR645" s="11"/>
    </row>
    <row r="646" spans="1:70" ht="15" x14ac:dyDescent="0.25">
      <c r="A646">
        <v>5</v>
      </c>
      <c r="B646" t="s">
        <v>2678</v>
      </c>
      <c r="C646">
        <v>11</v>
      </c>
      <c r="D646" s="128">
        <v>1.7320067439349999E-2</v>
      </c>
      <c r="E646" s="11"/>
      <c r="F646" s="3" t="s">
        <v>814</v>
      </c>
      <c r="G646" s="3">
        <v>0.16323687000000001</v>
      </c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  <c r="BM646" s="11"/>
      <c r="BN646" s="11"/>
      <c r="BO646" s="11"/>
      <c r="BP646" s="11"/>
      <c r="BQ646" s="11"/>
      <c r="BR646" s="11"/>
    </row>
    <row r="647" spans="1:70" ht="15" x14ac:dyDescent="0.25">
      <c r="A647">
        <v>5</v>
      </c>
      <c r="B647" t="s">
        <v>2678</v>
      </c>
      <c r="C647">
        <v>12</v>
      </c>
      <c r="D647" s="128">
        <v>2.0351409232940001E-2</v>
      </c>
      <c r="E647" s="11"/>
      <c r="F647" s="3" t="s">
        <v>815</v>
      </c>
      <c r="G647" s="3">
        <v>0.16323687000000001</v>
      </c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  <c r="BM647" s="11"/>
      <c r="BN647" s="11"/>
      <c r="BO647" s="11"/>
      <c r="BP647" s="11"/>
      <c r="BQ647" s="11"/>
      <c r="BR647" s="11"/>
    </row>
    <row r="648" spans="1:70" ht="15" x14ac:dyDescent="0.25">
      <c r="A648">
        <v>5</v>
      </c>
      <c r="B648" t="s">
        <v>2678</v>
      </c>
      <c r="C648">
        <v>13</v>
      </c>
      <c r="D648" s="128">
        <v>2.3633695412680001E-2</v>
      </c>
      <c r="E648" s="11"/>
      <c r="F648" s="3" t="s">
        <v>816</v>
      </c>
      <c r="G648" s="3">
        <v>0.16323687000000001</v>
      </c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  <c r="BM648" s="11"/>
      <c r="BN648" s="11"/>
      <c r="BO648" s="11"/>
      <c r="BP648" s="11"/>
      <c r="BQ648" s="11"/>
      <c r="BR648" s="11"/>
    </row>
    <row r="649" spans="1:70" ht="15" x14ac:dyDescent="0.25">
      <c r="A649">
        <v>5</v>
      </c>
      <c r="B649" t="s">
        <v>2678</v>
      </c>
      <c r="C649">
        <v>14</v>
      </c>
      <c r="D649" s="128">
        <v>2.7167211715939998E-2</v>
      </c>
      <c r="E649" s="11"/>
      <c r="F649" s="3" t="s">
        <v>817</v>
      </c>
      <c r="G649" s="3">
        <v>0.16323687000000001</v>
      </c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  <c r="BM649" s="11"/>
      <c r="BN649" s="11"/>
      <c r="BO649" s="11"/>
      <c r="BP649" s="11"/>
      <c r="BQ649" s="11"/>
      <c r="BR649" s="11"/>
    </row>
    <row r="650" spans="1:70" ht="15" x14ac:dyDescent="0.25">
      <c r="A650">
        <v>5</v>
      </c>
      <c r="B650" t="s">
        <v>2678</v>
      </c>
      <c r="C650">
        <v>15</v>
      </c>
      <c r="D650" s="128">
        <v>3.095194319521E-2</v>
      </c>
      <c r="E650" s="11"/>
      <c r="F650" s="3" t="s">
        <v>818</v>
      </c>
      <c r="G650" s="3">
        <v>0.16323687000000001</v>
      </c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  <c r="BM650" s="11"/>
      <c r="BN650" s="11"/>
      <c r="BO650" s="11"/>
      <c r="BP650" s="11"/>
      <c r="BQ650" s="11"/>
      <c r="BR650" s="11"/>
    </row>
    <row r="651" spans="1:70" ht="15" x14ac:dyDescent="0.25">
      <c r="A651">
        <v>5</v>
      </c>
      <c r="B651" t="s">
        <v>2678</v>
      </c>
      <c r="C651">
        <v>16</v>
      </c>
      <c r="D651" s="128">
        <v>3.4987127921630001E-2</v>
      </c>
      <c r="E651" s="11"/>
      <c r="F651" s="3" t="s">
        <v>819</v>
      </c>
      <c r="G651" s="3">
        <v>0.16323687000000001</v>
      </c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  <c r="BM651" s="11"/>
      <c r="BN651" s="11"/>
      <c r="BO651" s="11"/>
      <c r="BP651" s="11"/>
      <c r="BQ651" s="11"/>
      <c r="BR651" s="11"/>
    </row>
    <row r="652" spans="1:70" ht="15" x14ac:dyDescent="0.25">
      <c r="A652">
        <v>5</v>
      </c>
      <c r="B652" t="s">
        <v>2678</v>
      </c>
      <c r="C652">
        <v>17</v>
      </c>
      <c r="D652" s="128">
        <v>3.9271505543470003E-2</v>
      </c>
      <c r="E652" s="11"/>
      <c r="F652" s="3" t="s">
        <v>820</v>
      </c>
      <c r="G652" s="3">
        <v>0.16323687000000001</v>
      </c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  <c r="BM652" s="11"/>
      <c r="BN652" s="11"/>
      <c r="BO652" s="11"/>
      <c r="BP652" s="11"/>
      <c r="BQ652" s="11"/>
      <c r="BR652" s="11"/>
    </row>
    <row r="653" spans="1:70" ht="15" x14ac:dyDescent="0.25">
      <c r="A653">
        <v>5</v>
      </c>
      <c r="B653" t="s">
        <v>2678</v>
      </c>
      <c r="C653">
        <v>18</v>
      </c>
      <c r="D653" s="128">
        <v>4.3803316975770001E-2</v>
      </c>
      <c r="E653" s="11"/>
      <c r="F653" s="3" t="s">
        <v>821</v>
      </c>
      <c r="G653" s="3">
        <v>0.25</v>
      </c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  <c r="BM653" s="11"/>
      <c r="BN653" s="11"/>
      <c r="BO653" s="11"/>
      <c r="BP653" s="11"/>
      <c r="BQ653" s="11"/>
      <c r="BR653" s="11"/>
    </row>
    <row r="654" spans="1:70" ht="15" x14ac:dyDescent="0.25">
      <c r="A654">
        <v>5</v>
      </c>
      <c r="B654" t="s">
        <v>2678</v>
      </c>
      <c r="C654">
        <v>19</v>
      </c>
      <c r="D654" s="128">
        <v>4.8580106900280001E-2</v>
      </c>
      <c r="E654" s="11"/>
      <c r="F654" s="3" t="s">
        <v>822</v>
      </c>
      <c r="G654" s="3">
        <v>0.35</v>
      </c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  <c r="BM654" s="11"/>
      <c r="BN654" s="11"/>
      <c r="BO654" s="11"/>
      <c r="BP654" s="11"/>
      <c r="BQ654" s="11"/>
      <c r="BR654" s="11"/>
    </row>
    <row r="655" spans="1:70" ht="15" x14ac:dyDescent="0.25">
      <c r="A655">
        <v>5</v>
      </c>
      <c r="B655" t="s">
        <v>2678</v>
      </c>
      <c r="C655">
        <v>20</v>
      </c>
      <c r="D655" s="128">
        <v>5.3599086628200003E-2</v>
      </c>
      <c r="E655" s="11"/>
      <c r="F655" s="3" t="s">
        <v>823</v>
      </c>
      <c r="G655" s="3">
        <v>1</v>
      </c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  <c r="BM655" s="11"/>
      <c r="BN655" s="11"/>
      <c r="BO655" s="11"/>
      <c r="BP655" s="11"/>
      <c r="BQ655" s="11"/>
      <c r="BR655" s="11"/>
    </row>
    <row r="656" spans="1:70" ht="15" x14ac:dyDescent="0.25">
      <c r="A656">
        <v>5</v>
      </c>
      <c r="B656" t="s">
        <v>2678</v>
      </c>
      <c r="C656">
        <v>21</v>
      </c>
      <c r="D656" s="128">
        <v>5.8857185804389998E-2</v>
      </c>
      <c r="E656" s="11"/>
      <c r="F656" s="3" t="s">
        <v>824</v>
      </c>
      <c r="G656" s="3">
        <v>1</v>
      </c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  <c r="BM656" s="11"/>
      <c r="BN656" s="11"/>
      <c r="BO656" s="11"/>
      <c r="BP656" s="11"/>
      <c r="BQ656" s="11"/>
      <c r="BR656" s="11"/>
    </row>
    <row r="657" spans="1:70" ht="15" x14ac:dyDescent="0.25">
      <c r="A657">
        <v>5</v>
      </c>
      <c r="B657" t="s">
        <v>2678</v>
      </c>
      <c r="C657">
        <v>22</v>
      </c>
      <c r="D657" s="128">
        <v>6.4350647332470007E-2</v>
      </c>
      <c r="E657" s="11"/>
      <c r="F657" s="3" t="s">
        <v>825</v>
      </c>
      <c r="G657" s="3">
        <v>1</v>
      </c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  <c r="BM657" s="11"/>
      <c r="BN657" s="11"/>
      <c r="BO657" s="11"/>
      <c r="BP657" s="11"/>
      <c r="BQ657" s="11"/>
      <c r="BR657" s="11"/>
    </row>
    <row r="658" spans="1:70" ht="15" x14ac:dyDescent="0.25">
      <c r="A658">
        <v>5</v>
      </c>
      <c r="B658" t="s">
        <v>2678</v>
      </c>
      <c r="C658">
        <v>23</v>
      </c>
      <c r="D658" s="128">
        <v>7.0075452692499998E-2</v>
      </c>
      <c r="E658" s="11"/>
      <c r="F658" s="3" t="s">
        <v>11</v>
      </c>
      <c r="G658" s="3">
        <v>1.03E-4</v>
      </c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  <c r="BM658" s="11"/>
      <c r="BN658" s="11"/>
      <c r="BO658" s="11"/>
      <c r="BP658" s="11"/>
      <c r="BQ658" s="11"/>
      <c r="BR658" s="11"/>
    </row>
    <row r="659" spans="1:70" ht="15" x14ac:dyDescent="0.25">
      <c r="A659">
        <v>5</v>
      </c>
      <c r="B659" t="s">
        <v>2678</v>
      </c>
      <c r="C659">
        <v>24</v>
      </c>
      <c r="D659" s="128">
        <v>7.6027124487080003E-2</v>
      </c>
      <c r="E659" s="11"/>
      <c r="F659" s="3" t="s">
        <v>12</v>
      </c>
      <c r="G659" s="3">
        <v>2.0599999999999999E-4</v>
      </c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  <c r="BM659" s="11"/>
      <c r="BN659" s="11"/>
      <c r="BO659" s="11"/>
      <c r="BP659" s="11"/>
      <c r="BQ659" s="11"/>
      <c r="BR659" s="11"/>
    </row>
    <row r="660" spans="1:70" ht="15" x14ac:dyDescent="0.25">
      <c r="A660">
        <v>5</v>
      </c>
      <c r="B660" t="s">
        <v>2678</v>
      </c>
      <c r="C660">
        <v>25</v>
      </c>
      <c r="D660" s="128">
        <v>8.2201505139710002E-2</v>
      </c>
      <c r="E660" s="11"/>
      <c r="F660" s="3" t="s">
        <v>13</v>
      </c>
      <c r="G660" s="3">
        <v>3.0899999999999998E-4</v>
      </c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  <c r="BM660" s="11"/>
      <c r="BN660" s="11"/>
      <c r="BO660" s="11"/>
      <c r="BP660" s="11"/>
      <c r="BQ660" s="11"/>
      <c r="BR660" s="11"/>
    </row>
    <row r="661" spans="1:70" ht="15" x14ac:dyDescent="0.25">
      <c r="A661">
        <v>5</v>
      </c>
      <c r="B661" t="s">
        <v>2678</v>
      </c>
      <c r="C661">
        <v>26</v>
      </c>
      <c r="D661" s="128">
        <v>8.8593562571679996E-2</v>
      </c>
      <c r="E661" s="11"/>
      <c r="F661" s="3" t="s">
        <v>14</v>
      </c>
      <c r="G661" s="3">
        <v>4.1199999999999999E-4</v>
      </c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  <c r="BM661" s="11"/>
      <c r="BN661" s="11"/>
      <c r="BO661" s="11"/>
      <c r="BP661" s="11"/>
      <c r="BQ661" s="11"/>
      <c r="BR661" s="11"/>
    </row>
    <row r="662" spans="1:70" ht="15" x14ac:dyDescent="0.25">
      <c r="A662">
        <v>5</v>
      </c>
      <c r="B662" t="s">
        <v>2678</v>
      </c>
      <c r="C662">
        <v>27</v>
      </c>
      <c r="D662" s="128">
        <v>9.5198127294069998E-2</v>
      </c>
      <c r="E662" s="11"/>
      <c r="F662" s="3" t="s">
        <v>15</v>
      </c>
      <c r="G662" s="3">
        <v>5.1500000000000005E-4</v>
      </c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  <c r="BM662" s="11"/>
      <c r="BN662" s="11"/>
      <c r="BO662" s="11"/>
      <c r="BP662" s="11"/>
      <c r="BQ662" s="11"/>
      <c r="BR662" s="11"/>
    </row>
    <row r="663" spans="1:70" ht="15" x14ac:dyDescent="0.25">
      <c r="A663">
        <v>5</v>
      </c>
      <c r="B663" t="s">
        <v>2678</v>
      </c>
      <c r="C663">
        <v>28</v>
      </c>
      <c r="D663" s="128">
        <v>0.10201023522329999</v>
      </c>
      <c r="E663" s="11"/>
      <c r="F663" s="3" t="s">
        <v>16</v>
      </c>
      <c r="G663" s="3">
        <v>6.2074999999999999E-4</v>
      </c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  <c r="BM663" s="11"/>
      <c r="BN663" s="11"/>
      <c r="BO663" s="11"/>
      <c r="BP663" s="11"/>
      <c r="BQ663" s="11"/>
      <c r="BR663" s="11"/>
    </row>
    <row r="664" spans="1:70" ht="15" x14ac:dyDescent="0.25">
      <c r="A664">
        <v>5</v>
      </c>
      <c r="B664" t="s">
        <v>2678</v>
      </c>
      <c r="C664">
        <v>29</v>
      </c>
      <c r="D664" s="128">
        <v>0.10902432773428999</v>
      </c>
      <c r="E664" s="11"/>
      <c r="F664" s="3" t="s">
        <v>17</v>
      </c>
      <c r="G664" s="3">
        <v>9.1759000000000003E-4</v>
      </c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  <c r="BM664" s="11"/>
      <c r="BN664" s="11"/>
      <c r="BO664" s="11"/>
      <c r="BP664" s="11"/>
      <c r="BQ664" s="11"/>
      <c r="BR664" s="11"/>
    </row>
    <row r="665" spans="1:70" ht="15" x14ac:dyDescent="0.25">
      <c r="A665">
        <v>5</v>
      </c>
      <c r="B665" t="s">
        <v>2678</v>
      </c>
      <c r="C665">
        <v>30</v>
      </c>
      <c r="D665" s="128">
        <v>0.11623513468813999</v>
      </c>
      <c r="E665" s="11"/>
      <c r="F665" s="3" t="s">
        <v>18</v>
      </c>
      <c r="G665" s="3">
        <v>1.3948400000000001E-3</v>
      </c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  <c r="BM665" s="11"/>
      <c r="BN665" s="11"/>
      <c r="BO665" s="11"/>
      <c r="BP665" s="11"/>
      <c r="BQ665" s="11"/>
      <c r="BR665" s="11"/>
    </row>
    <row r="666" spans="1:70" ht="15" x14ac:dyDescent="0.25">
      <c r="A666">
        <v>5</v>
      </c>
      <c r="B666" t="s">
        <v>2678</v>
      </c>
      <c r="C666">
        <v>31</v>
      </c>
      <c r="D666" s="128">
        <v>0.12363745638132</v>
      </c>
      <c r="E666" s="11"/>
      <c r="F666" s="3" t="s">
        <v>19</v>
      </c>
      <c r="G666" s="3">
        <v>2.1246300000000002E-3</v>
      </c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  <c r="BM666" s="11"/>
      <c r="BN666" s="11"/>
      <c r="BO666" s="11"/>
      <c r="BP666" s="11"/>
      <c r="BQ666" s="11"/>
      <c r="BR666" s="11"/>
    </row>
    <row r="667" spans="1:70" ht="15" x14ac:dyDescent="0.25">
      <c r="A667">
        <v>5</v>
      </c>
      <c r="B667" t="s">
        <v>2678</v>
      </c>
      <c r="C667">
        <v>32</v>
      </c>
      <c r="D667" s="128">
        <v>0.13122555035201</v>
      </c>
      <c r="E667" s="11"/>
      <c r="F667" s="3" t="s">
        <v>20</v>
      </c>
      <c r="G667" s="3">
        <v>3.07018E-3</v>
      </c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  <c r="BM667" s="11"/>
      <c r="BN667" s="11"/>
      <c r="BO667" s="11"/>
      <c r="BP667" s="11"/>
      <c r="BQ667" s="11"/>
      <c r="BR667" s="11"/>
    </row>
    <row r="668" spans="1:70" ht="15" x14ac:dyDescent="0.25">
      <c r="A668">
        <v>5</v>
      </c>
      <c r="B668" t="s">
        <v>2678</v>
      </c>
      <c r="C668">
        <v>33</v>
      </c>
      <c r="D668" s="128">
        <v>0.13899376525615001</v>
      </c>
      <c r="E668" s="11"/>
      <c r="F668" s="3" t="s">
        <v>21</v>
      </c>
      <c r="G668" s="3">
        <v>4.4445400000000003E-3</v>
      </c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  <c r="BM668" s="11"/>
      <c r="BN668" s="11"/>
      <c r="BO668" s="11"/>
      <c r="BP668" s="11"/>
      <c r="BQ668" s="11"/>
      <c r="BR668" s="11"/>
    </row>
    <row r="669" spans="1:70" ht="15" x14ac:dyDescent="0.25">
      <c r="A669">
        <v>5</v>
      </c>
      <c r="B669" t="s">
        <v>2678</v>
      </c>
      <c r="C669">
        <v>34</v>
      </c>
      <c r="D669" s="128">
        <v>0.14693694644326</v>
      </c>
      <c r="E669" s="11"/>
      <c r="F669" s="3" t="s">
        <v>22</v>
      </c>
      <c r="G669" s="3">
        <v>7.5560000000000002E-3</v>
      </c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  <c r="BM669" s="11"/>
      <c r="BN669" s="11"/>
      <c r="BO669" s="11"/>
      <c r="BP669" s="11"/>
      <c r="BQ669" s="11"/>
      <c r="BR669" s="11"/>
    </row>
    <row r="670" spans="1:70" ht="15" x14ac:dyDescent="0.25">
      <c r="A670">
        <v>5</v>
      </c>
      <c r="B670" t="s">
        <v>2678</v>
      </c>
      <c r="C670">
        <v>35</v>
      </c>
      <c r="D670" s="128">
        <v>0.15504908454484001</v>
      </c>
      <c r="E670" s="11"/>
      <c r="F670" s="3" t="s">
        <v>23</v>
      </c>
      <c r="G670" s="3">
        <v>1.3210009999999999E-2</v>
      </c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  <c r="BM670" s="11"/>
      <c r="BN670" s="11"/>
      <c r="BO670" s="11"/>
      <c r="BP670" s="11"/>
      <c r="BQ670" s="11"/>
      <c r="BR670" s="11"/>
    </row>
    <row r="671" spans="1:70" ht="15" x14ac:dyDescent="0.25">
      <c r="A671">
        <v>5</v>
      </c>
      <c r="B671" t="s">
        <v>2678</v>
      </c>
      <c r="C671">
        <v>36</v>
      </c>
      <c r="D671" s="128">
        <v>0.16332508289766001</v>
      </c>
      <c r="E671" s="11"/>
      <c r="F671" s="3" t="s">
        <v>24</v>
      </c>
      <c r="G671" s="3">
        <v>2.3749880000000001E-2</v>
      </c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  <c r="BM671" s="11"/>
      <c r="BN671" s="11"/>
      <c r="BO671" s="11"/>
      <c r="BP671" s="11"/>
      <c r="BQ671" s="11"/>
      <c r="BR671" s="11"/>
    </row>
    <row r="672" spans="1:70" ht="15" x14ac:dyDescent="0.25">
      <c r="A672">
        <v>5</v>
      </c>
      <c r="B672" t="s">
        <v>2678</v>
      </c>
      <c r="C672">
        <v>37</v>
      </c>
      <c r="D672" s="128">
        <v>0.17175975966800999</v>
      </c>
      <c r="E672" s="11"/>
      <c r="F672" s="3" t="s">
        <v>25</v>
      </c>
      <c r="G672" s="3">
        <v>4.3910339999999999E-2</v>
      </c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  <c r="BM672" s="11"/>
      <c r="BN672" s="11"/>
      <c r="BO672" s="11"/>
      <c r="BP672" s="11"/>
      <c r="BQ672" s="11"/>
      <c r="BR672" s="11"/>
    </row>
    <row r="673" spans="1:7" ht="15" x14ac:dyDescent="0.25">
      <c r="A673">
        <v>5</v>
      </c>
      <c r="B673" t="s">
        <v>2678</v>
      </c>
      <c r="C673">
        <v>38</v>
      </c>
      <c r="D673" s="128">
        <v>0.18034745260433999</v>
      </c>
      <c r="F673" s="3" t="s">
        <v>26</v>
      </c>
      <c r="G673" s="3">
        <v>8.3487039999999998E-2</v>
      </c>
    </row>
    <row r="674" spans="1:7" ht="15" x14ac:dyDescent="0.25">
      <c r="A674">
        <v>5</v>
      </c>
      <c r="B674" t="s">
        <v>2678</v>
      </c>
      <c r="C674">
        <v>39</v>
      </c>
      <c r="D674" s="128">
        <v>0.18908318389105999</v>
      </c>
      <c r="F674" s="3" t="s">
        <v>28</v>
      </c>
      <c r="G674" s="3">
        <v>0.25</v>
      </c>
    </row>
    <row r="675" spans="1:7" ht="15" x14ac:dyDescent="0.25">
      <c r="A675">
        <v>5</v>
      </c>
      <c r="B675" t="s">
        <v>2678</v>
      </c>
      <c r="C675">
        <v>40</v>
      </c>
      <c r="D675" s="128">
        <v>0.19796151617946001</v>
      </c>
      <c r="F675" s="3" t="s">
        <v>29</v>
      </c>
      <c r="G675" s="3">
        <v>0.35</v>
      </c>
    </row>
    <row r="676" spans="1:7" ht="15" x14ac:dyDescent="0.25">
      <c r="A676">
        <v>5</v>
      </c>
      <c r="B676" t="s">
        <v>2678</v>
      </c>
      <c r="C676">
        <v>41</v>
      </c>
      <c r="D676" s="128">
        <v>0.20712740890403999</v>
      </c>
      <c r="F676" s="3" t="s">
        <v>30</v>
      </c>
      <c r="G676" s="3">
        <v>1</v>
      </c>
    </row>
    <row r="677" spans="1:7" ht="15" x14ac:dyDescent="0.25">
      <c r="A677">
        <v>5</v>
      </c>
      <c r="B677" t="s">
        <v>2678</v>
      </c>
      <c r="C677">
        <v>42</v>
      </c>
      <c r="D677" s="128">
        <v>0.21658900496099001</v>
      </c>
      <c r="F677" s="3" t="s">
        <v>31</v>
      </c>
      <c r="G677" s="3">
        <v>1</v>
      </c>
    </row>
    <row r="678" spans="1:7" ht="15" x14ac:dyDescent="0.25">
      <c r="A678">
        <v>5</v>
      </c>
      <c r="B678" t="s">
        <v>2678</v>
      </c>
      <c r="C678">
        <v>43</v>
      </c>
      <c r="D678" s="128">
        <v>0.22635466302877999</v>
      </c>
      <c r="F678" s="3" t="s">
        <v>32</v>
      </c>
      <c r="G678" s="3">
        <v>1</v>
      </c>
    </row>
    <row r="679" spans="1:7" ht="15" x14ac:dyDescent="0.25">
      <c r="A679">
        <v>5</v>
      </c>
      <c r="B679" t="s">
        <v>2678</v>
      </c>
      <c r="C679">
        <v>44</v>
      </c>
      <c r="D679" s="128">
        <v>0.23643296309931</v>
      </c>
      <c r="F679" s="3" t="s">
        <v>826</v>
      </c>
      <c r="G679" s="3">
        <v>1.03E-4</v>
      </c>
    </row>
    <row r="680" spans="1:7" ht="15" x14ac:dyDescent="0.25">
      <c r="A680">
        <v>5</v>
      </c>
      <c r="B680" t="s">
        <v>2678</v>
      </c>
      <c r="C680">
        <v>45</v>
      </c>
      <c r="D680" s="128">
        <v>0.24683271214961999</v>
      </c>
      <c r="F680" s="3" t="s">
        <v>827</v>
      </c>
      <c r="G680" s="3">
        <v>2.0599999999999999E-4</v>
      </c>
    </row>
    <row r="681" spans="1:7" ht="15" x14ac:dyDescent="0.25">
      <c r="A681">
        <v>5</v>
      </c>
      <c r="B681" t="s">
        <v>2678</v>
      </c>
      <c r="C681">
        <v>46</v>
      </c>
      <c r="D681" s="128">
        <v>0.25756294995784002</v>
      </c>
      <c r="F681" s="3" t="s">
        <v>828</v>
      </c>
      <c r="G681" s="3">
        <v>3.0899999999999998E-4</v>
      </c>
    </row>
    <row r="682" spans="1:7" ht="15" x14ac:dyDescent="0.25">
      <c r="A682">
        <v>5</v>
      </c>
      <c r="B682" t="s">
        <v>2678</v>
      </c>
      <c r="C682">
        <v>47</v>
      </c>
      <c r="D682" s="128">
        <v>0.26863295506711998</v>
      </c>
      <c r="F682" s="3" t="s">
        <v>829</v>
      </c>
      <c r="G682" s="3">
        <v>4.1199999999999999E-4</v>
      </c>
    </row>
    <row r="683" spans="1:7" ht="15" x14ac:dyDescent="0.25">
      <c r="A683">
        <v>5</v>
      </c>
      <c r="B683" t="s">
        <v>2678</v>
      </c>
      <c r="C683">
        <v>48</v>
      </c>
      <c r="D683" s="128">
        <v>0.28005225090135999</v>
      </c>
      <c r="F683" s="3" t="s">
        <v>830</v>
      </c>
      <c r="G683" s="3">
        <v>5.1500000000000005E-4</v>
      </c>
    </row>
    <row r="684" spans="1:7" ht="15" x14ac:dyDescent="0.25">
      <c r="A684">
        <v>5</v>
      </c>
      <c r="B684" t="s">
        <v>2678</v>
      </c>
      <c r="C684">
        <v>49</v>
      </c>
      <c r="D684" s="128">
        <v>0.29183061203670002</v>
      </c>
      <c r="F684" s="3" t="s">
        <v>831</v>
      </c>
      <c r="G684" s="3">
        <v>6.2074999999999999E-4</v>
      </c>
    </row>
    <row r="685" spans="1:7" ht="15" x14ac:dyDescent="0.25">
      <c r="A685">
        <v>5</v>
      </c>
      <c r="B685" t="s">
        <v>2678</v>
      </c>
      <c r="C685">
        <v>50</v>
      </c>
      <c r="D685" s="128">
        <v>0.30397807063289001</v>
      </c>
      <c r="F685" s="3" t="s">
        <v>832</v>
      </c>
      <c r="G685" s="3">
        <v>9.1759000000000003E-4</v>
      </c>
    </row>
    <row r="686" spans="1:7" ht="15" x14ac:dyDescent="0.25">
      <c r="A686">
        <v>6</v>
      </c>
      <c r="B686" t="s">
        <v>2679</v>
      </c>
      <c r="C686">
        <v>1</v>
      </c>
      <c r="D686" s="128">
        <v>6.0288169665000005E-4</v>
      </c>
      <c r="F686" s="3" t="s">
        <v>833</v>
      </c>
      <c r="G686" s="3">
        <v>1.3948400000000001E-3</v>
      </c>
    </row>
    <row r="687" spans="1:7" ht="15" x14ac:dyDescent="0.25">
      <c r="A687">
        <v>6</v>
      </c>
      <c r="B687" t="s">
        <v>2679</v>
      </c>
      <c r="C687">
        <v>2</v>
      </c>
      <c r="D687" s="128">
        <v>1.3395830008600001E-3</v>
      </c>
      <c r="F687" s="3" t="s">
        <v>834</v>
      </c>
      <c r="G687" s="3">
        <v>2.1246300000000002E-3</v>
      </c>
    </row>
    <row r="688" spans="1:7" ht="15" x14ac:dyDescent="0.25">
      <c r="A688">
        <v>6</v>
      </c>
      <c r="B688" t="s">
        <v>2679</v>
      </c>
      <c r="C688">
        <v>3</v>
      </c>
      <c r="D688" s="128">
        <v>2.4040779248900002E-3</v>
      </c>
      <c r="F688" s="3" t="s">
        <v>835</v>
      </c>
      <c r="G688" s="3">
        <v>3.07018E-3</v>
      </c>
    </row>
    <row r="689" spans="1:7" ht="15" x14ac:dyDescent="0.25">
      <c r="A689">
        <v>6</v>
      </c>
      <c r="B689" t="s">
        <v>2679</v>
      </c>
      <c r="C689">
        <v>4</v>
      </c>
      <c r="D689" s="128">
        <v>3.8300922773E-3</v>
      </c>
      <c r="F689" s="3" t="s">
        <v>836</v>
      </c>
      <c r="G689" s="3">
        <v>4.4445400000000003E-3</v>
      </c>
    </row>
    <row r="690" spans="1:7" ht="15" x14ac:dyDescent="0.25">
      <c r="A690">
        <v>6</v>
      </c>
      <c r="B690" t="s">
        <v>2679</v>
      </c>
      <c r="C690">
        <v>5</v>
      </c>
      <c r="D690" s="128">
        <v>5.2560773439699997E-3</v>
      </c>
      <c r="F690" s="3" t="s">
        <v>837</v>
      </c>
      <c r="G690" s="3">
        <v>7.5560000000000002E-3</v>
      </c>
    </row>
    <row r="691" spans="1:7" ht="15" x14ac:dyDescent="0.25">
      <c r="A691">
        <v>6</v>
      </c>
      <c r="B691" t="s">
        <v>2679</v>
      </c>
      <c r="C691">
        <v>6</v>
      </c>
      <c r="D691" s="128">
        <v>7.0734440479099997E-3</v>
      </c>
      <c r="F691" s="3" t="s">
        <v>838</v>
      </c>
      <c r="G691" s="3">
        <v>1.3210009999999999E-2</v>
      </c>
    </row>
    <row r="692" spans="1:7" ht="15" x14ac:dyDescent="0.25">
      <c r="A692">
        <v>6</v>
      </c>
      <c r="B692" t="s">
        <v>2679</v>
      </c>
      <c r="C692">
        <v>7</v>
      </c>
      <c r="D692" s="128">
        <v>9.1560856876500007E-3</v>
      </c>
      <c r="F692" s="3" t="s">
        <v>839</v>
      </c>
      <c r="G692" s="3">
        <v>2.3749880000000001E-2</v>
      </c>
    </row>
    <row r="693" spans="1:7" ht="15" x14ac:dyDescent="0.25">
      <c r="A693">
        <v>6</v>
      </c>
      <c r="B693" t="s">
        <v>2679</v>
      </c>
      <c r="C693">
        <v>8</v>
      </c>
      <c r="D693" s="128">
        <v>1.1505645183029999E-2</v>
      </c>
      <c r="F693" s="3" t="s">
        <v>840</v>
      </c>
      <c r="G693" s="3">
        <v>4.3910339999999999E-2</v>
      </c>
    </row>
    <row r="694" spans="1:7" ht="15" x14ac:dyDescent="0.25">
      <c r="A694">
        <v>6</v>
      </c>
      <c r="B694" t="s">
        <v>2679</v>
      </c>
      <c r="C694">
        <v>9</v>
      </c>
      <c r="D694" s="128">
        <v>1.4122861291460001E-2</v>
      </c>
      <c r="F694" s="3" t="s">
        <v>841</v>
      </c>
      <c r="G694" s="3">
        <v>8.3487039999999998E-2</v>
      </c>
    </row>
    <row r="695" spans="1:7" ht="15" x14ac:dyDescent="0.25">
      <c r="A695">
        <v>6</v>
      </c>
      <c r="B695" t="s">
        <v>2679</v>
      </c>
      <c r="C695">
        <v>10</v>
      </c>
      <c r="D695" s="128">
        <v>1.700743619542E-2</v>
      </c>
      <c r="F695" s="3" t="s">
        <v>842</v>
      </c>
      <c r="G695" s="3">
        <v>0.25</v>
      </c>
    </row>
    <row r="696" spans="1:7" ht="15" x14ac:dyDescent="0.25">
      <c r="A696">
        <v>6</v>
      </c>
      <c r="B696" t="s">
        <v>2679</v>
      </c>
      <c r="C696">
        <v>11</v>
      </c>
      <c r="D696" s="128">
        <v>2.0158272118999999E-2</v>
      </c>
      <c r="F696" s="3" t="s">
        <v>843</v>
      </c>
      <c r="G696" s="3">
        <v>0.35</v>
      </c>
    </row>
    <row r="697" spans="1:7" ht="15" x14ac:dyDescent="0.25">
      <c r="A697">
        <v>6</v>
      </c>
      <c r="B697" t="s">
        <v>2679</v>
      </c>
      <c r="C697">
        <v>12</v>
      </c>
      <c r="D697" s="128">
        <v>2.357328620156E-2</v>
      </c>
      <c r="F697" s="3" t="s">
        <v>844</v>
      </c>
      <c r="G697" s="3">
        <v>1</v>
      </c>
    </row>
    <row r="698" spans="1:7" ht="15" x14ac:dyDescent="0.25">
      <c r="A698">
        <v>6</v>
      </c>
      <c r="B698" t="s">
        <v>2679</v>
      </c>
      <c r="C698">
        <v>13</v>
      </c>
      <c r="D698" s="128">
        <v>2.724963842023E-2</v>
      </c>
      <c r="F698" s="3" t="s">
        <v>845</v>
      </c>
      <c r="G698" s="3">
        <v>1</v>
      </c>
    </row>
    <row r="699" spans="1:7" ht="15" x14ac:dyDescent="0.25">
      <c r="A699">
        <v>6</v>
      </c>
      <c r="B699" t="s">
        <v>2679</v>
      </c>
      <c r="C699">
        <v>14</v>
      </c>
      <c r="D699" s="128">
        <v>3.1183819018359999E-2</v>
      </c>
      <c r="F699" s="3" t="s">
        <v>846</v>
      </c>
      <c r="G699" s="3">
        <v>1</v>
      </c>
    </row>
    <row r="700" spans="1:7" ht="15" x14ac:dyDescent="0.25">
      <c r="A700">
        <v>6</v>
      </c>
      <c r="B700" t="s">
        <v>2679</v>
      </c>
      <c r="C700">
        <v>15</v>
      </c>
      <c r="D700" s="128">
        <v>3.5371736010720002E-2</v>
      </c>
      <c r="F700" s="3" t="s">
        <v>847</v>
      </c>
      <c r="G700" s="3">
        <v>0.16323687000000001</v>
      </c>
    </row>
    <row r="701" spans="1:7" ht="15" x14ac:dyDescent="0.25">
      <c r="A701">
        <v>6</v>
      </c>
      <c r="B701" t="s">
        <v>2679</v>
      </c>
      <c r="C701">
        <v>16</v>
      </c>
      <c r="D701" s="128">
        <v>3.9808521333600001E-2</v>
      </c>
      <c r="F701" s="3" t="s">
        <v>848</v>
      </c>
      <c r="G701" s="3">
        <v>1.3948400000000001E-3</v>
      </c>
    </row>
    <row r="702" spans="1:7" ht="15" x14ac:dyDescent="0.25">
      <c r="A702">
        <v>6</v>
      </c>
      <c r="B702" t="s">
        <v>2679</v>
      </c>
      <c r="C702">
        <v>17</v>
      </c>
      <c r="D702" s="128">
        <v>4.4488978956749997E-2</v>
      </c>
      <c r="F702" s="3" t="s">
        <v>849</v>
      </c>
      <c r="G702" s="3">
        <v>2.1246300000000002E-3</v>
      </c>
    </row>
    <row r="703" spans="1:7" ht="15" x14ac:dyDescent="0.25">
      <c r="A703">
        <v>6</v>
      </c>
      <c r="B703" t="s">
        <v>2679</v>
      </c>
      <c r="C703">
        <v>18</v>
      </c>
      <c r="D703" s="128">
        <v>4.9407399967240001E-2</v>
      </c>
      <c r="F703" s="3" t="s">
        <v>850</v>
      </c>
      <c r="G703" s="3">
        <v>3.07018E-3</v>
      </c>
    </row>
    <row r="704" spans="1:7" ht="15" x14ac:dyDescent="0.25">
      <c r="A704">
        <v>6</v>
      </c>
      <c r="B704" t="s">
        <v>2679</v>
      </c>
      <c r="C704">
        <v>19</v>
      </c>
      <c r="D704" s="128">
        <v>5.4557773438330001E-2</v>
      </c>
      <c r="F704" s="3" t="s">
        <v>851</v>
      </c>
      <c r="G704" s="3">
        <v>4.4445400000000003E-3</v>
      </c>
    </row>
    <row r="705" spans="1:7" ht="15" x14ac:dyDescent="0.25">
      <c r="A705">
        <v>6</v>
      </c>
      <c r="B705" t="s">
        <v>2679</v>
      </c>
      <c r="C705">
        <v>20</v>
      </c>
      <c r="D705" s="128">
        <v>5.9933698294859998E-2</v>
      </c>
      <c r="F705" s="3" t="s">
        <v>852</v>
      </c>
      <c r="G705" s="3">
        <v>7.5560000000000002E-3</v>
      </c>
    </row>
    <row r="706" spans="1:7" ht="15" x14ac:dyDescent="0.25">
      <c r="A706">
        <v>6</v>
      </c>
      <c r="B706" t="s">
        <v>2679</v>
      </c>
      <c r="C706">
        <v>21</v>
      </c>
      <c r="D706" s="128">
        <v>6.5528427127390002E-2</v>
      </c>
      <c r="F706" s="3" t="s">
        <v>853</v>
      </c>
      <c r="G706" s="3">
        <v>1.3210009999999999E-2</v>
      </c>
    </row>
    <row r="707" spans="1:7" ht="15" x14ac:dyDescent="0.25">
      <c r="A707">
        <v>6</v>
      </c>
      <c r="B707" t="s">
        <v>2679</v>
      </c>
      <c r="C707">
        <v>22</v>
      </c>
      <c r="D707" s="128">
        <v>7.1335297312009993E-2</v>
      </c>
      <c r="F707" s="3" t="s">
        <v>854</v>
      </c>
      <c r="G707" s="3">
        <v>2.3749880000000001E-2</v>
      </c>
    </row>
    <row r="708" spans="1:7" ht="15" x14ac:dyDescent="0.25">
      <c r="A708">
        <v>6</v>
      </c>
      <c r="B708" t="s">
        <v>2679</v>
      </c>
      <c r="C708">
        <v>23</v>
      </c>
      <c r="D708" s="128">
        <v>7.7347458254169998E-2</v>
      </c>
      <c r="F708" s="3" t="s">
        <v>855</v>
      </c>
      <c r="G708" s="3">
        <v>4.3910339999999999E-2</v>
      </c>
    </row>
    <row r="709" spans="1:7" ht="15" x14ac:dyDescent="0.25">
      <c r="A709">
        <v>6</v>
      </c>
      <c r="B709" t="s">
        <v>2679</v>
      </c>
      <c r="C709">
        <v>24</v>
      </c>
      <c r="D709" s="128">
        <v>8.3557915364700003E-2</v>
      </c>
      <c r="F709" s="3" t="s">
        <v>856</v>
      </c>
      <c r="G709" s="3">
        <v>8.3487039999999998E-2</v>
      </c>
    </row>
    <row r="710" spans="1:7" ht="15" x14ac:dyDescent="0.25">
      <c r="A710">
        <v>6</v>
      </c>
      <c r="B710" t="s">
        <v>2679</v>
      </c>
      <c r="C710">
        <v>25</v>
      </c>
      <c r="D710" s="128">
        <v>8.9959353959049998E-2</v>
      </c>
      <c r="F710" s="3" t="s">
        <v>857</v>
      </c>
      <c r="G710" s="3">
        <v>1</v>
      </c>
    </row>
    <row r="711" spans="1:7" ht="15" x14ac:dyDescent="0.25">
      <c r="A711">
        <v>6</v>
      </c>
      <c r="B711" t="s">
        <v>2679</v>
      </c>
      <c r="C711">
        <v>26</v>
      </c>
      <c r="D711" s="128">
        <v>9.6545054930259999E-2</v>
      </c>
      <c r="F711" s="3" t="s">
        <v>858</v>
      </c>
      <c r="G711" s="3">
        <v>1</v>
      </c>
    </row>
    <row r="712" spans="1:7" ht="15" x14ac:dyDescent="0.25">
      <c r="A712">
        <v>6</v>
      </c>
      <c r="B712" t="s">
        <v>2679</v>
      </c>
      <c r="C712">
        <v>27</v>
      </c>
      <c r="D712" s="128">
        <v>0.10330812019358999</v>
      </c>
      <c r="F712" s="3" t="s">
        <v>859</v>
      </c>
      <c r="G712" s="3">
        <v>1</v>
      </c>
    </row>
    <row r="713" spans="1:7" ht="15" x14ac:dyDescent="0.25">
      <c r="A713">
        <v>6</v>
      </c>
      <c r="B713" t="s">
        <v>2679</v>
      </c>
      <c r="C713">
        <v>28</v>
      </c>
      <c r="D713" s="128">
        <v>0.11024147266169</v>
      </c>
      <c r="F713" s="3" t="s">
        <v>860</v>
      </c>
      <c r="G713" s="3">
        <v>0.16323687000000001</v>
      </c>
    </row>
    <row r="714" spans="1:7" ht="15" x14ac:dyDescent="0.25">
      <c r="A714">
        <v>6</v>
      </c>
      <c r="B714" t="s">
        <v>2679</v>
      </c>
      <c r="C714">
        <v>29</v>
      </c>
      <c r="D714" s="128">
        <v>0.11733811167166</v>
      </c>
      <c r="F714" s="3" t="s">
        <v>861</v>
      </c>
      <c r="G714" s="3">
        <v>1.03E-4</v>
      </c>
    </row>
    <row r="715" spans="1:7" ht="15" x14ac:dyDescent="0.25">
      <c r="A715">
        <v>6</v>
      </c>
      <c r="B715" t="s">
        <v>2679</v>
      </c>
      <c r="C715">
        <v>30</v>
      </c>
      <c r="D715" s="128">
        <v>0.1245916857216</v>
      </c>
      <c r="F715" s="3" t="s">
        <v>862</v>
      </c>
      <c r="G715" s="3">
        <v>2.0599999999999999E-4</v>
      </c>
    </row>
    <row r="716" spans="1:7" ht="15" x14ac:dyDescent="0.25">
      <c r="A716">
        <v>6</v>
      </c>
      <c r="B716" t="s">
        <v>2679</v>
      </c>
      <c r="C716">
        <v>31</v>
      </c>
      <c r="D716" s="128">
        <v>0.13199553256268001</v>
      </c>
      <c r="F716" s="3" t="s">
        <v>863</v>
      </c>
      <c r="G716" s="3">
        <v>3.0899999999999998E-4</v>
      </c>
    </row>
    <row r="717" spans="1:7" ht="15" x14ac:dyDescent="0.25">
      <c r="A717">
        <v>6</v>
      </c>
      <c r="B717" t="s">
        <v>2679</v>
      </c>
      <c r="C717">
        <v>32</v>
      </c>
      <c r="D717" s="128">
        <v>0.13954319897181</v>
      </c>
      <c r="F717" s="3" t="s">
        <v>864</v>
      </c>
      <c r="G717" s="3">
        <v>4.1199999999999999E-4</v>
      </c>
    </row>
    <row r="718" spans="1:7" ht="15" x14ac:dyDescent="0.25">
      <c r="A718">
        <v>6</v>
      </c>
      <c r="B718" t="s">
        <v>2679</v>
      </c>
      <c r="C718">
        <v>33</v>
      </c>
      <c r="D718" s="128">
        <v>0.14722877579283999</v>
      </c>
      <c r="F718" s="3" t="s">
        <v>865</v>
      </c>
      <c r="G718" s="3">
        <v>5.1500000000000005E-4</v>
      </c>
    </row>
    <row r="719" spans="1:7" ht="15" x14ac:dyDescent="0.25">
      <c r="A719">
        <v>6</v>
      </c>
      <c r="B719" t="s">
        <v>2679</v>
      </c>
      <c r="C719">
        <v>34</v>
      </c>
      <c r="D719" s="128">
        <v>0.15504548819113001</v>
      </c>
      <c r="F719" s="3" t="s">
        <v>866</v>
      </c>
      <c r="G719" s="3">
        <v>6.2074999999999999E-4</v>
      </c>
    </row>
    <row r="720" spans="1:7" ht="15" x14ac:dyDescent="0.25">
      <c r="A720">
        <v>6</v>
      </c>
      <c r="B720" t="s">
        <v>2679</v>
      </c>
      <c r="C720">
        <v>35</v>
      </c>
      <c r="D720" s="128">
        <v>0.16298833945616001</v>
      </c>
      <c r="F720" s="3" t="s">
        <v>867</v>
      </c>
      <c r="G720" s="3">
        <v>9.1759000000000003E-4</v>
      </c>
    </row>
    <row r="721" spans="1:7" ht="15" x14ac:dyDescent="0.25">
      <c r="A721">
        <v>6</v>
      </c>
      <c r="B721" t="s">
        <v>2679</v>
      </c>
      <c r="C721">
        <v>36</v>
      </c>
      <c r="D721" s="128">
        <v>0.17105120306509</v>
      </c>
      <c r="F721" s="3" t="s">
        <v>868</v>
      </c>
      <c r="G721" s="3">
        <v>1.3948400000000001E-3</v>
      </c>
    </row>
    <row r="722" spans="1:7" ht="15" x14ac:dyDescent="0.25">
      <c r="A722">
        <v>6</v>
      </c>
      <c r="B722" t="s">
        <v>2679</v>
      </c>
      <c r="C722">
        <v>37</v>
      </c>
      <c r="D722" s="128">
        <v>0.17922860293553999</v>
      </c>
      <c r="F722" s="3" t="s">
        <v>869</v>
      </c>
      <c r="G722" s="3">
        <v>2.1246300000000002E-3</v>
      </c>
    </row>
    <row r="723" spans="1:7" ht="15" x14ac:dyDescent="0.25">
      <c r="A723">
        <v>6</v>
      </c>
      <c r="B723" t="s">
        <v>2679</v>
      </c>
      <c r="C723">
        <v>38</v>
      </c>
      <c r="D723" s="128">
        <v>0.18751546692602999</v>
      </c>
      <c r="F723" s="3" t="s">
        <v>870</v>
      </c>
      <c r="G723" s="3">
        <v>3.07018E-3</v>
      </c>
    </row>
    <row r="724" spans="1:7" ht="15" x14ac:dyDescent="0.25">
      <c r="A724">
        <v>6</v>
      </c>
      <c r="B724" t="s">
        <v>2679</v>
      </c>
      <c r="C724">
        <v>39</v>
      </c>
      <c r="D724" s="128">
        <v>0.19590682728316999</v>
      </c>
      <c r="F724" s="3" t="s">
        <v>871</v>
      </c>
      <c r="G724" s="3">
        <v>4.4445400000000003E-3</v>
      </c>
    </row>
    <row r="725" spans="1:7" ht="15" x14ac:dyDescent="0.25">
      <c r="A725">
        <v>6</v>
      </c>
      <c r="B725" t="s">
        <v>2679</v>
      </c>
      <c r="C725">
        <v>40</v>
      </c>
      <c r="D725" s="128">
        <v>0.20439746801392</v>
      </c>
      <c r="F725" s="3" t="s">
        <v>872</v>
      </c>
      <c r="G725" s="3">
        <v>7.5560000000000002E-3</v>
      </c>
    </row>
    <row r="726" spans="1:7" ht="15" x14ac:dyDescent="0.25">
      <c r="A726">
        <v>6</v>
      </c>
      <c r="B726" t="s">
        <v>2679</v>
      </c>
      <c r="C726">
        <v>41</v>
      </c>
      <c r="D726" s="128">
        <v>0.21312296928499999</v>
      </c>
      <c r="F726" s="3" t="s">
        <v>873</v>
      </c>
      <c r="G726" s="3">
        <v>1.3210009999999999E-2</v>
      </c>
    </row>
    <row r="727" spans="1:7" ht="15" x14ac:dyDescent="0.25">
      <c r="A727">
        <v>6</v>
      </c>
      <c r="B727" t="s">
        <v>2679</v>
      </c>
      <c r="C727">
        <v>42</v>
      </c>
      <c r="D727" s="128">
        <v>0.22208892598763</v>
      </c>
      <c r="F727" s="3" t="s">
        <v>874</v>
      </c>
      <c r="G727" s="3">
        <v>2.3749880000000001E-2</v>
      </c>
    </row>
    <row r="728" spans="1:7" ht="15" x14ac:dyDescent="0.25">
      <c r="A728">
        <v>6</v>
      </c>
      <c r="B728" t="s">
        <v>2679</v>
      </c>
      <c r="C728">
        <v>43</v>
      </c>
      <c r="D728" s="128">
        <v>0.23130105706151999</v>
      </c>
      <c r="F728" s="3" t="s">
        <v>875</v>
      </c>
      <c r="G728" s="3">
        <v>4.3910339999999999E-2</v>
      </c>
    </row>
    <row r="729" spans="1:7" ht="15" x14ac:dyDescent="0.25">
      <c r="A729">
        <v>6</v>
      </c>
      <c r="B729" t="s">
        <v>2679</v>
      </c>
      <c r="C729">
        <v>44</v>
      </c>
      <c r="D729" s="128">
        <v>0.24076520814857999</v>
      </c>
      <c r="F729" s="3" t="s">
        <v>876</v>
      </c>
      <c r="G729" s="3">
        <v>8.3487039999999998E-2</v>
      </c>
    </row>
    <row r="730" spans="1:7" ht="15" x14ac:dyDescent="0.25">
      <c r="A730">
        <v>6</v>
      </c>
      <c r="B730" t="s">
        <v>2679</v>
      </c>
      <c r="C730">
        <v>45</v>
      </c>
      <c r="D730" s="128">
        <v>0.25048735430291003</v>
      </c>
      <c r="F730" s="3" t="s">
        <v>877</v>
      </c>
      <c r="G730" s="3">
        <v>0.25</v>
      </c>
    </row>
    <row r="731" spans="1:7" ht="15" x14ac:dyDescent="0.25">
      <c r="A731">
        <v>6</v>
      </c>
      <c r="B731" t="s">
        <v>2679</v>
      </c>
      <c r="C731">
        <v>46</v>
      </c>
      <c r="D731" s="128">
        <v>0.26047360275815001</v>
      </c>
      <c r="F731" s="3" t="s">
        <v>878</v>
      </c>
      <c r="G731" s="3">
        <v>0.35</v>
      </c>
    </row>
    <row r="732" spans="1:7" ht="15" x14ac:dyDescent="0.25">
      <c r="A732">
        <v>6</v>
      </c>
      <c r="B732" t="s">
        <v>2679</v>
      </c>
      <c r="C732">
        <v>47</v>
      </c>
      <c r="D732" s="128">
        <v>0.27073019575356</v>
      </c>
      <c r="F732" s="3" t="s">
        <v>879</v>
      </c>
      <c r="G732" s="3">
        <v>1</v>
      </c>
    </row>
    <row r="733" spans="1:7" ht="15" x14ac:dyDescent="0.25">
      <c r="A733">
        <v>6</v>
      </c>
      <c r="B733" t="s">
        <v>2679</v>
      </c>
      <c r="C733">
        <v>48</v>
      </c>
      <c r="D733" s="128">
        <v>0.28126351342001998</v>
      </c>
      <c r="F733" s="3" t="s">
        <v>880</v>
      </c>
      <c r="G733" s="3">
        <v>1</v>
      </c>
    </row>
    <row r="734" spans="1:7" ht="15" x14ac:dyDescent="0.25">
      <c r="A734">
        <v>6</v>
      </c>
      <c r="B734" t="s">
        <v>2679</v>
      </c>
      <c r="C734">
        <v>49</v>
      </c>
      <c r="D734" s="128">
        <v>0.29208007672724001</v>
      </c>
      <c r="F734" s="3" t="s">
        <v>881</v>
      </c>
      <c r="G734" s="3">
        <v>1</v>
      </c>
    </row>
    <row r="735" spans="1:7" ht="15" x14ac:dyDescent="0.25">
      <c r="A735">
        <v>6</v>
      </c>
      <c r="B735" t="s">
        <v>2679</v>
      </c>
      <c r="C735">
        <v>50</v>
      </c>
      <c r="D735" s="128">
        <v>0.30318655049361998</v>
      </c>
      <c r="F735" s="3" t="s">
        <v>882</v>
      </c>
      <c r="G735" s="3">
        <v>1.03E-4</v>
      </c>
    </row>
    <row r="736" spans="1:7" ht="15" x14ac:dyDescent="0.25">
      <c r="A736">
        <v>7</v>
      </c>
      <c r="B736" t="s">
        <v>2680</v>
      </c>
      <c r="C736">
        <v>1</v>
      </c>
      <c r="D736" s="128">
        <v>8.9129708727000002E-4</v>
      </c>
      <c r="F736" s="3" t="s">
        <v>883</v>
      </c>
      <c r="G736" s="3">
        <v>2.0599999999999999E-4</v>
      </c>
    </row>
    <row r="737" spans="1:7" ht="15" x14ac:dyDescent="0.25">
      <c r="A737">
        <v>7</v>
      </c>
      <c r="B737" t="s">
        <v>2680</v>
      </c>
      <c r="C737">
        <v>2</v>
      </c>
      <c r="D737" s="128">
        <v>2.07165562772E-3</v>
      </c>
      <c r="F737" s="3" t="s">
        <v>884</v>
      </c>
      <c r="G737" s="3">
        <v>3.0899999999999998E-4</v>
      </c>
    </row>
    <row r="738" spans="1:7" ht="15" x14ac:dyDescent="0.25">
      <c r="A738">
        <v>7</v>
      </c>
      <c r="B738" t="s">
        <v>2680</v>
      </c>
      <c r="C738">
        <v>3</v>
      </c>
      <c r="D738" s="128">
        <v>3.6674904815699998E-3</v>
      </c>
      <c r="F738" s="3" t="s">
        <v>885</v>
      </c>
      <c r="G738" s="3">
        <v>4.1199999999999999E-4</v>
      </c>
    </row>
    <row r="739" spans="1:7" ht="15" x14ac:dyDescent="0.25">
      <c r="A739">
        <v>7</v>
      </c>
      <c r="B739" t="s">
        <v>2680</v>
      </c>
      <c r="C739">
        <v>4</v>
      </c>
      <c r="D739" s="128">
        <v>5.7190634542100003E-3</v>
      </c>
      <c r="F739" s="3" t="s">
        <v>886</v>
      </c>
      <c r="G739" s="3">
        <v>5.1500000000000005E-4</v>
      </c>
    </row>
    <row r="740" spans="1:7" ht="15" x14ac:dyDescent="0.25">
      <c r="A740">
        <v>7</v>
      </c>
      <c r="B740" t="s">
        <v>2680</v>
      </c>
      <c r="C740">
        <v>5</v>
      </c>
      <c r="D740" s="128">
        <v>7.7706327935899997E-3</v>
      </c>
      <c r="F740" s="3" t="s">
        <v>887</v>
      </c>
      <c r="G740" s="3">
        <v>6.2074999999999999E-4</v>
      </c>
    </row>
    <row r="741" spans="1:7" ht="15" x14ac:dyDescent="0.25">
      <c r="A741">
        <v>7</v>
      </c>
      <c r="B741" t="s">
        <v>2680</v>
      </c>
      <c r="C741">
        <v>6</v>
      </c>
      <c r="D741" s="128">
        <v>1.034915157617E-2</v>
      </c>
      <c r="F741" s="3" t="s">
        <v>888</v>
      </c>
      <c r="G741" s="3">
        <v>9.1759000000000003E-4</v>
      </c>
    </row>
    <row r="742" spans="1:7" ht="15" x14ac:dyDescent="0.25">
      <c r="A742">
        <v>7</v>
      </c>
      <c r="B742" t="s">
        <v>2680</v>
      </c>
      <c r="C742">
        <v>7</v>
      </c>
      <c r="D742" s="128">
        <v>1.328678098062E-2</v>
      </c>
      <c r="F742" s="3" t="s">
        <v>889</v>
      </c>
      <c r="G742" s="3">
        <v>1.3948400000000001E-3</v>
      </c>
    </row>
    <row r="743" spans="1:7" ht="15" x14ac:dyDescent="0.25">
      <c r="A743">
        <v>7</v>
      </c>
      <c r="B743" t="s">
        <v>2680</v>
      </c>
      <c r="C743">
        <v>8</v>
      </c>
      <c r="D743" s="128">
        <v>1.658190864313E-2</v>
      </c>
      <c r="F743" s="3" t="s">
        <v>890</v>
      </c>
      <c r="G743" s="3">
        <v>2.1246300000000002E-3</v>
      </c>
    </row>
    <row r="744" spans="1:7" ht="15" x14ac:dyDescent="0.25">
      <c r="A744">
        <v>7</v>
      </c>
      <c r="B744" t="s">
        <v>2680</v>
      </c>
      <c r="C744">
        <v>9</v>
      </c>
      <c r="D744" s="128">
        <v>2.023081124438E-2</v>
      </c>
      <c r="F744" s="3" t="s">
        <v>891</v>
      </c>
      <c r="G744" s="3">
        <v>3.07018E-3</v>
      </c>
    </row>
    <row r="745" spans="1:7" ht="15" x14ac:dyDescent="0.25">
      <c r="A745">
        <v>7</v>
      </c>
      <c r="B745" t="s">
        <v>2680</v>
      </c>
      <c r="C745">
        <v>10</v>
      </c>
      <c r="D745" s="128">
        <v>2.4228142337440001E-2</v>
      </c>
      <c r="F745" s="3" t="s">
        <v>892</v>
      </c>
      <c r="G745" s="3">
        <v>4.4445400000000003E-3</v>
      </c>
    </row>
    <row r="746" spans="1:7" ht="15" x14ac:dyDescent="0.25">
      <c r="A746">
        <v>7</v>
      </c>
      <c r="B746" t="s">
        <v>2680</v>
      </c>
      <c r="C746">
        <v>11</v>
      </c>
      <c r="D746" s="128">
        <v>2.8567082313749999E-2</v>
      </c>
      <c r="F746" s="3" t="s">
        <v>893</v>
      </c>
      <c r="G746" s="3">
        <v>7.5560000000000002E-3</v>
      </c>
    </row>
    <row r="747" spans="1:7" ht="15" x14ac:dyDescent="0.25">
      <c r="A747">
        <v>7</v>
      </c>
      <c r="B747" t="s">
        <v>2680</v>
      </c>
      <c r="C747">
        <v>12</v>
      </c>
      <c r="D747" s="128">
        <v>3.3239381681789998E-2</v>
      </c>
      <c r="F747" s="3" t="s">
        <v>894</v>
      </c>
      <c r="G747" s="3">
        <v>1.3210009999999999E-2</v>
      </c>
    </row>
    <row r="748" spans="1:7" ht="15" x14ac:dyDescent="0.25">
      <c r="A748">
        <v>7</v>
      </c>
      <c r="B748" t="s">
        <v>2680</v>
      </c>
      <c r="C748">
        <v>13</v>
      </c>
      <c r="D748" s="128">
        <v>3.8235832044650003E-2</v>
      </c>
      <c r="F748" s="3" t="s">
        <v>895</v>
      </c>
      <c r="G748" s="3">
        <v>2.3749880000000001E-2</v>
      </c>
    </row>
    <row r="749" spans="1:7" ht="15" x14ac:dyDescent="0.25">
      <c r="A749">
        <v>7</v>
      </c>
      <c r="B749" t="s">
        <v>2680</v>
      </c>
      <c r="C749">
        <v>14</v>
      </c>
      <c r="D749" s="128">
        <v>4.3546416847130003E-2</v>
      </c>
      <c r="F749" s="3" t="s">
        <v>896</v>
      </c>
      <c r="G749" s="3">
        <v>4.3910339999999999E-2</v>
      </c>
    </row>
    <row r="750" spans="1:7" ht="15" x14ac:dyDescent="0.25">
      <c r="A750">
        <v>7</v>
      </c>
      <c r="B750" t="s">
        <v>2680</v>
      </c>
      <c r="C750">
        <v>15</v>
      </c>
      <c r="D750" s="128">
        <v>4.9160355378410001E-2</v>
      </c>
      <c r="F750" s="3" t="s">
        <v>897</v>
      </c>
      <c r="G750" s="3">
        <v>0.35</v>
      </c>
    </row>
    <row r="751" spans="1:7" ht="15" x14ac:dyDescent="0.25">
      <c r="A751">
        <v>7</v>
      </c>
      <c r="B751" t="s">
        <v>2680</v>
      </c>
      <c r="C751">
        <v>16</v>
      </c>
      <c r="D751" s="128">
        <v>5.5066610332300002E-2</v>
      </c>
      <c r="F751" s="3" t="s">
        <v>898</v>
      </c>
      <c r="G751" s="3">
        <v>1</v>
      </c>
    </row>
    <row r="752" spans="1:7" ht="15" x14ac:dyDescent="0.25">
      <c r="A752">
        <v>7</v>
      </c>
      <c r="B752" t="s">
        <v>2680</v>
      </c>
      <c r="C752">
        <v>17</v>
      </c>
      <c r="D752" s="128">
        <v>6.1253138965990002E-2</v>
      </c>
      <c r="F752" s="3" t="s">
        <v>899</v>
      </c>
      <c r="G752" s="3">
        <v>1</v>
      </c>
    </row>
    <row r="753" spans="1:7" ht="15" x14ac:dyDescent="0.25">
      <c r="A753">
        <v>7</v>
      </c>
      <c r="B753" t="s">
        <v>2680</v>
      </c>
      <c r="C753">
        <v>18</v>
      </c>
      <c r="D753" s="128">
        <v>6.7708497343069995E-2</v>
      </c>
      <c r="F753" s="3" t="s">
        <v>900</v>
      </c>
      <c r="G753" s="3">
        <v>1</v>
      </c>
    </row>
    <row r="754" spans="1:7" ht="15" x14ac:dyDescent="0.25">
      <c r="A754">
        <v>7</v>
      </c>
      <c r="B754" t="s">
        <v>2680</v>
      </c>
      <c r="C754">
        <v>19</v>
      </c>
      <c r="D754" s="128">
        <v>7.4420423188800003E-2</v>
      </c>
      <c r="F754" s="3" t="s">
        <v>901</v>
      </c>
      <c r="G754" s="3">
        <v>8.3487039999999998E-2</v>
      </c>
    </row>
    <row r="755" spans="1:7" ht="15" x14ac:dyDescent="0.25">
      <c r="A755">
        <v>7</v>
      </c>
      <c r="B755" t="s">
        <v>2680</v>
      </c>
      <c r="C755">
        <v>20</v>
      </c>
      <c r="D755" s="128">
        <v>8.1376861115689994E-2</v>
      </c>
      <c r="F755" s="3" t="s">
        <v>902</v>
      </c>
      <c r="G755" s="3">
        <v>0.25</v>
      </c>
    </row>
    <row r="756" spans="1:7" ht="15" x14ac:dyDescent="0.25">
      <c r="A756">
        <v>7</v>
      </c>
      <c r="B756" t="s">
        <v>2680</v>
      </c>
      <c r="C756">
        <v>21</v>
      </c>
      <c r="D756" s="128">
        <v>8.8566186016989998E-2</v>
      </c>
      <c r="F756" s="3" t="s">
        <v>903</v>
      </c>
      <c r="G756" s="3">
        <v>0.35</v>
      </c>
    </row>
    <row r="757" spans="1:7" ht="15" x14ac:dyDescent="0.25">
      <c r="A757">
        <v>7</v>
      </c>
      <c r="B757" t="s">
        <v>2680</v>
      </c>
      <c r="C757">
        <v>22</v>
      </c>
      <c r="D757" s="128">
        <v>9.5976445315829995E-2</v>
      </c>
      <c r="F757" s="3" t="s">
        <v>904</v>
      </c>
      <c r="G757" s="3">
        <v>1</v>
      </c>
    </row>
    <row r="758" spans="1:7" ht="15" x14ac:dyDescent="0.25">
      <c r="A758">
        <v>7</v>
      </c>
      <c r="B758" t="s">
        <v>2680</v>
      </c>
      <c r="C758">
        <v>23</v>
      </c>
      <c r="D758" s="128">
        <v>0.10359597460667</v>
      </c>
      <c r="F758" s="3" t="s">
        <v>905</v>
      </c>
      <c r="G758" s="3">
        <v>1</v>
      </c>
    </row>
    <row r="759" spans="1:7" ht="15" x14ac:dyDescent="0.25">
      <c r="A759">
        <v>7</v>
      </c>
      <c r="B759" t="s">
        <v>2680</v>
      </c>
      <c r="C759">
        <v>24</v>
      </c>
      <c r="D759" s="128">
        <v>0.11141374611439001</v>
      </c>
      <c r="F759" s="3" t="s">
        <v>906</v>
      </c>
      <c r="G759" s="3">
        <v>1</v>
      </c>
    </row>
    <row r="760" spans="1:7" ht="15" x14ac:dyDescent="0.25">
      <c r="A760">
        <v>7</v>
      </c>
      <c r="B760" t="s">
        <v>2680</v>
      </c>
      <c r="C760">
        <v>25</v>
      </c>
      <c r="D760" s="128">
        <v>0.1194188784806</v>
      </c>
      <c r="F760" s="3" t="s">
        <v>907</v>
      </c>
      <c r="G760" s="3">
        <v>1.03E-4</v>
      </c>
    </row>
    <row r="761" spans="1:7" ht="15" x14ac:dyDescent="0.25">
      <c r="A761">
        <v>7</v>
      </c>
      <c r="B761" t="s">
        <v>2680</v>
      </c>
      <c r="C761">
        <v>26</v>
      </c>
      <c r="D761" s="128">
        <v>0.12760044961643</v>
      </c>
      <c r="F761" s="3" t="s">
        <v>908</v>
      </c>
      <c r="G761" s="3">
        <v>2.0599999999999999E-4</v>
      </c>
    </row>
    <row r="762" spans="1:7" ht="15" x14ac:dyDescent="0.25">
      <c r="A762">
        <v>7</v>
      </c>
      <c r="B762" t="s">
        <v>2680</v>
      </c>
      <c r="C762">
        <v>27</v>
      </c>
      <c r="D762" s="128">
        <v>0.13594846101173999</v>
      </c>
      <c r="F762" s="3" t="s">
        <v>909</v>
      </c>
      <c r="G762" s="3">
        <v>3.0899999999999998E-4</v>
      </c>
    </row>
    <row r="763" spans="1:7" ht="15" x14ac:dyDescent="0.25">
      <c r="A763">
        <v>7</v>
      </c>
      <c r="B763" t="s">
        <v>2680</v>
      </c>
      <c r="C763">
        <v>28</v>
      </c>
      <c r="D763" s="128">
        <v>0.14445326709619999</v>
      </c>
      <c r="F763" s="3" t="s">
        <v>910</v>
      </c>
      <c r="G763" s="3">
        <v>4.1199999999999999E-4</v>
      </c>
    </row>
    <row r="764" spans="1:7" ht="15" x14ac:dyDescent="0.25">
      <c r="A764">
        <v>7</v>
      </c>
      <c r="B764" t="s">
        <v>2680</v>
      </c>
      <c r="C764">
        <v>29</v>
      </c>
      <c r="D764" s="128">
        <v>0.15310510236235</v>
      </c>
      <c r="F764" s="3" t="s">
        <v>911</v>
      </c>
      <c r="G764" s="3">
        <v>5.1500000000000005E-4</v>
      </c>
    </row>
    <row r="765" spans="1:7" ht="15" x14ac:dyDescent="0.25">
      <c r="A765">
        <v>7</v>
      </c>
      <c r="B765" t="s">
        <v>2680</v>
      </c>
      <c r="C765">
        <v>30</v>
      </c>
      <c r="D765" s="128">
        <v>0.16189537636056001</v>
      </c>
      <c r="F765" s="3" t="s">
        <v>912</v>
      </c>
      <c r="G765" s="3">
        <v>6.2074999999999999E-4</v>
      </c>
    </row>
    <row r="766" spans="1:7" ht="15" x14ac:dyDescent="0.25">
      <c r="A766">
        <v>7</v>
      </c>
      <c r="B766" t="s">
        <v>2680</v>
      </c>
      <c r="C766">
        <v>31</v>
      </c>
      <c r="D766" s="128">
        <v>0.17081546878255</v>
      </c>
      <c r="F766" s="3" t="s">
        <v>913</v>
      </c>
      <c r="G766" s="3">
        <v>9.1759000000000003E-4</v>
      </c>
    </row>
    <row r="767" spans="1:7" ht="15" x14ac:dyDescent="0.25">
      <c r="A767">
        <v>7</v>
      </c>
      <c r="B767" t="s">
        <v>2680</v>
      </c>
      <c r="C767">
        <v>32</v>
      </c>
      <c r="D767" s="128">
        <v>0.17985725657696999</v>
      </c>
      <c r="F767" s="3" t="s">
        <v>914</v>
      </c>
      <c r="G767" s="3">
        <v>1.3948400000000001E-3</v>
      </c>
    </row>
    <row r="768" spans="1:7" ht="15" x14ac:dyDescent="0.25">
      <c r="A768">
        <v>7</v>
      </c>
      <c r="B768" t="s">
        <v>2680</v>
      </c>
      <c r="C768">
        <v>33</v>
      </c>
      <c r="D768" s="128">
        <v>0.18901286420239999</v>
      </c>
      <c r="F768" s="3" t="s">
        <v>915</v>
      </c>
      <c r="G768" s="3">
        <v>2.1246300000000002E-3</v>
      </c>
    </row>
    <row r="769" spans="1:7" ht="15" x14ac:dyDescent="0.25">
      <c r="A769">
        <v>7</v>
      </c>
      <c r="B769" t="s">
        <v>2680</v>
      </c>
      <c r="C769">
        <v>34</v>
      </c>
      <c r="D769" s="128">
        <v>0.19827496762784999</v>
      </c>
      <c r="F769" s="3" t="s">
        <v>916</v>
      </c>
      <c r="G769" s="3">
        <v>3.07018E-3</v>
      </c>
    </row>
    <row r="770" spans="1:7" ht="15" x14ac:dyDescent="0.25">
      <c r="A770">
        <v>7</v>
      </c>
      <c r="B770" t="s">
        <v>2680</v>
      </c>
      <c r="C770">
        <v>35</v>
      </c>
      <c r="D770" s="128">
        <v>0.20763715211753001</v>
      </c>
      <c r="F770" s="3" t="s">
        <v>917</v>
      </c>
      <c r="G770" s="3">
        <v>4.4445400000000003E-3</v>
      </c>
    </row>
    <row r="771" spans="1:7" ht="15" x14ac:dyDescent="0.25">
      <c r="A771">
        <v>7</v>
      </c>
      <c r="B771" t="s">
        <v>2680</v>
      </c>
      <c r="C771">
        <v>36</v>
      </c>
      <c r="D771" s="128">
        <v>0.21709271532364</v>
      </c>
      <c r="F771" s="3" t="s">
        <v>918</v>
      </c>
      <c r="G771" s="3">
        <v>7.5560000000000002E-3</v>
      </c>
    </row>
    <row r="772" spans="1:7" ht="15" x14ac:dyDescent="0.25">
      <c r="A772">
        <v>7</v>
      </c>
      <c r="B772" t="s">
        <v>2680</v>
      </c>
      <c r="C772">
        <v>37</v>
      </c>
      <c r="D772" s="128">
        <v>0.22663523916962</v>
      </c>
      <c r="F772" s="3" t="s">
        <v>919</v>
      </c>
      <c r="G772" s="3">
        <v>1.3210009999999999E-2</v>
      </c>
    </row>
    <row r="773" spans="1:7" ht="15" x14ac:dyDescent="0.25">
      <c r="A773">
        <v>7</v>
      </c>
      <c r="B773" t="s">
        <v>2680</v>
      </c>
      <c r="C773">
        <v>38</v>
      </c>
      <c r="D773" s="128">
        <v>0.23625926931664001</v>
      </c>
      <c r="F773" s="3" t="s">
        <v>920</v>
      </c>
      <c r="G773" s="3">
        <v>2.3749880000000001E-2</v>
      </c>
    </row>
    <row r="774" spans="1:7" ht="15" x14ac:dyDescent="0.25">
      <c r="A774">
        <v>7</v>
      </c>
      <c r="B774" t="s">
        <v>2680</v>
      </c>
      <c r="C774">
        <v>39</v>
      </c>
      <c r="D774" s="128">
        <v>0.24595901062582001</v>
      </c>
      <c r="F774" s="3" t="s">
        <v>921</v>
      </c>
      <c r="G774" s="3">
        <v>4.3910339999999999E-2</v>
      </c>
    </row>
    <row r="775" spans="1:7" ht="15" x14ac:dyDescent="0.25">
      <c r="A775">
        <v>7</v>
      </c>
      <c r="B775" t="s">
        <v>2680</v>
      </c>
      <c r="C775">
        <v>40</v>
      </c>
      <c r="D775" s="128">
        <v>0.25573002551654</v>
      </c>
      <c r="F775" s="3" t="s">
        <v>922</v>
      </c>
      <c r="G775" s="3">
        <v>8.3487039999999998E-2</v>
      </c>
    </row>
    <row r="776" spans="1:7" ht="15" x14ac:dyDescent="0.25">
      <c r="A776">
        <v>7</v>
      </c>
      <c r="B776" t="s">
        <v>2680</v>
      </c>
      <c r="C776">
        <v>41</v>
      </c>
      <c r="D776" s="128">
        <v>0.26572318306983</v>
      </c>
      <c r="F776" s="3" t="s">
        <v>923</v>
      </c>
      <c r="G776" s="3">
        <v>0.25</v>
      </c>
    </row>
    <row r="777" spans="1:7" ht="15" x14ac:dyDescent="0.25">
      <c r="A777">
        <v>7</v>
      </c>
      <c r="B777" t="s">
        <v>2680</v>
      </c>
      <c r="C777">
        <v>42</v>
      </c>
      <c r="D777" s="128">
        <v>0.27594275807619001</v>
      </c>
      <c r="F777" s="3" t="s">
        <v>924</v>
      </c>
      <c r="G777" s="3">
        <v>0.35</v>
      </c>
    </row>
    <row r="778" spans="1:7" ht="15" x14ac:dyDescent="0.25">
      <c r="A778">
        <v>7</v>
      </c>
      <c r="B778" t="s">
        <v>2680</v>
      </c>
      <c r="C778">
        <v>43</v>
      </c>
      <c r="D778" s="128">
        <v>0.28639310150995001</v>
      </c>
      <c r="F778" s="3" t="s">
        <v>925</v>
      </c>
      <c r="G778" s="3">
        <v>1</v>
      </c>
    </row>
    <row r="779" spans="1:7" ht="15" x14ac:dyDescent="0.25">
      <c r="A779">
        <v>7</v>
      </c>
      <c r="B779" t="s">
        <v>2680</v>
      </c>
      <c r="C779">
        <v>44</v>
      </c>
      <c r="D779" s="128">
        <v>0.29707864183874999</v>
      </c>
      <c r="F779" s="3" t="s">
        <v>926</v>
      </c>
      <c r="G779" s="3">
        <v>1</v>
      </c>
    </row>
    <row r="780" spans="1:7" ht="15" x14ac:dyDescent="0.25">
      <c r="A780">
        <v>7</v>
      </c>
      <c r="B780" t="s">
        <v>2680</v>
      </c>
      <c r="C780">
        <v>45</v>
      </c>
      <c r="D780" s="128">
        <v>0.30800388635533998</v>
      </c>
      <c r="F780" s="3" t="s">
        <v>927</v>
      </c>
      <c r="G780" s="3">
        <v>1</v>
      </c>
    </row>
    <row r="781" spans="1:7" ht="15" x14ac:dyDescent="0.25">
      <c r="A781">
        <v>7</v>
      </c>
      <c r="B781" t="s">
        <v>2680</v>
      </c>
      <c r="C781">
        <v>46</v>
      </c>
      <c r="D781" s="128">
        <v>0.31917342253211001</v>
      </c>
      <c r="F781" s="3" t="s">
        <v>928</v>
      </c>
      <c r="G781" s="3">
        <v>1.03E-4</v>
      </c>
    </row>
    <row r="782" spans="1:7" ht="15" x14ac:dyDescent="0.25">
      <c r="A782">
        <v>7</v>
      </c>
      <c r="B782" t="s">
        <v>2680</v>
      </c>
      <c r="C782">
        <v>47</v>
      </c>
      <c r="D782" s="128">
        <v>0.33059191939876997</v>
      </c>
      <c r="F782" s="3" t="s">
        <v>929</v>
      </c>
      <c r="G782" s="3">
        <v>2.0599999999999999E-4</v>
      </c>
    </row>
    <row r="783" spans="1:7" ht="15" x14ac:dyDescent="0.25">
      <c r="A783">
        <v>7</v>
      </c>
      <c r="B783" t="s">
        <v>2680</v>
      </c>
      <c r="C783">
        <v>48</v>
      </c>
      <c r="D783" s="128">
        <v>0.34226412894362002</v>
      </c>
      <c r="F783" s="3" t="s">
        <v>930</v>
      </c>
      <c r="G783" s="3">
        <v>4.3910339999999999E-2</v>
      </c>
    </row>
    <row r="784" spans="1:7" ht="15" x14ac:dyDescent="0.25">
      <c r="A784">
        <v>7</v>
      </c>
      <c r="B784" t="s">
        <v>2680</v>
      </c>
      <c r="C784">
        <v>49</v>
      </c>
      <c r="D784" s="128">
        <v>0.35419488753877998</v>
      </c>
      <c r="F784" s="3" t="s">
        <v>931</v>
      </c>
      <c r="G784" s="3">
        <v>8.3487039999999998E-2</v>
      </c>
    </row>
    <row r="785" spans="1:7" ht="15" x14ac:dyDescent="0.25">
      <c r="A785">
        <v>7</v>
      </c>
      <c r="B785" t="s">
        <v>2680</v>
      </c>
      <c r="C785">
        <v>50</v>
      </c>
      <c r="D785" s="128">
        <v>0.36638911738975</v>
      </c>
      <c r="F785" s="3" t="s">
        <v>932</v>
      </c>
      <c r="G785" s="3">
        <v>0.16323687000000001</v>
      </c>
    </row>
    <row r="786" spans="1:7" ht="15" x14ac:dyDescent="0.25">
      <c r="A786">
        <v>8</v>
      </c>
      <c r="B786" t="s">
        <v>2681</v>
      </c>
      <c r="C786">
        <v>1</v>
      </c>
      <c r="D786" s="128">
        <v>1.35511775746E-3</v>
      </c>
      <c r="F786" s="3" t="s">
        <v>933</v>
      </c>
      <c r="G786" s="3">
        <v>0.25</v>
      </c>
    </row>
    <row r="787" spans="1:7" ht="15" x14ac:dyDescent="0.25">
      <c r="A787">
        <v>8</v>
      </c>
      <c r="B787" t="s">
        <v>2681</v>
      </c>
      <c r="C787">
        <v>2</v>
      </c>
      <c r="D787" s="128">
        <v>3.2497133956899999E-3</v>
      </c>
      <c r="F787" s="3" t="s">
        <v>934</v>
      </c>
      <c r="G787" s="3">
        <v>0.35</v>
      </c>
    </row>
    <row r="788" spans="1:7" ht="15" x14ac:dyDescent="0.25">
      <c r="A788">
        <v>8</v>
      </c>
      <c r="B788" t="s">
        <v>2681</v>
      </c>
      <c r="C788">
        <v>3</v>
      </c>
      <c r="D788" s="128">
        <v>5.6684272485400004E-3</v>
      </c>
      <c r="F788" s="3" t="s">
        <v>935</v>
      </c>
      <c r="G788" s="3">
        <v>1</v>
      </c>
    </row>
    <row r="789" spans="1:7" ht="15" x14ac:dyDescent="0.25">
      <c r="A789">
        <v>8</v>
      </c>
      <c r="B789" t="s">
        <v>2681</v>
      </c>
      <c r="C789">
        <v>4</v>
      </c>
      <c r="D789" s="128">
        <v>8.6546408861399998E-3</v>
      </c>
      <c r="F789" s="3" t="s">
        <v>936</v>
      </c>
      <c r="G789" s="3">
        <v>1</v>
      </c>
    </row>
    <row r="790" spans="1:7" ht="15" x14ac:dyDescent="0.25">
      <c r="A790">
        <v>8</v>
      </c>
      <c r="B790" t="s">
        <v>2681</v>
      </c>
      <c r="C790">
        <v>5</v>
      </c>
      <c r="D790" s="128">
        <v>1.164080951062E-2</v>
      </c>
      <c r="F790" s="3" t="s">
        <v>937</v>
      </c>
      <c r="G790" s="3">
        <v>1</v>
      </c>
    </row>
    <row r="791" spans="1:7" ht="15" x14ac:dyDescent="0.25">
      <c r="A791">
        <v>8</v>
      </c>
      <c r="B791" t="s">
        <v>2681</v>
      </c>
      <c r="C791">
        <v>6</v>
      </c>
      <c r="D791" s="128">
        <v>1.538751797664E-2</v>
      </c>
      <c r="F791" s="3" t="s">
        <v>938</v>
      </c>
      <c r="G791" s="3">
        <v>1.03E-4</v>
      </c>
    </row>
    <row r="792" spans="1:7" ht="15" x14ac:dyDescent="0.25">
      <c r="A792">
        <v>8</v>
      </c>
      <c r="B792" t="s">
        <v>2681</v>
      </c>
      <c r="C792">
        <v>7</v>
      </c>
      <c r="D792" s="128">
        <v>1.9623888992359999E-2</v>
      </c>
      <c r="F792" s="3" t="s">
        <v>939</v>
      </c>
      <c r="G792" s="3">
        <v>2.0599999999999999E-4</v>
      </c>
    </row>
    <row r="793" spans="1:7" ht="15" x14ac:dyDescent="0.25">
      <c r="A793">
        <v>8</v>
      </c>
      <c r="B793" t="s">
        <v>2681</v>
      </c>
      <c r="C793">
        <v>8</v>
      </c>
      <c r="D793" s="128">
        <v>2.4340463087320002E-2</v>
      </c>
      <c r="F793" s="3" t="s">
        <v>940</v>
      </c>
      <c r="G793" s="3">
        <v>3.0899999999999998E-4</v>
      </c>
    </row>
    <row r="794" spans="1:7" ht="15" x14ac:dyDescent="0.25">
      <c r="A794">
        <v>8</v>
      </c>
      <c r="B794" t="s">
        <v>2681</v>
      </c>
      <c r="C794">
        <v>9</v>
      </c>
      <c r="D794" s="128">
        <v>2.9524467615349999E-2</v>
      </c>
      <c r="F794" s="3" t="s">
        <v>941</v>
      </c>
      <c r="G794" s="3">
        <v>4.1199999999999999E-4</v>
      </c>
    </row>
    <row r="795" spans="1:7" ht="15" x14ac:dyDescent="0.25">
      <c r="A795">
        <v>8</v>
      </c>
      <c r="B795" t="s">
        <v>2681</v>
      </c>
      <c r="C795">
        <v>10</v>
      </c>
      <c r="D795" s="128">
        <v>3.5160806128889999E-2</v>
      </c>
      <c r="F795" s="3" t="s">
        <v>942</v>
      </c>
      <c r="G795" s="3">
        <v>5.1500000000000005E-4</v>
      </c>
    </row>
    <row r="796" spans="1:7" ht="15" x14ac:dyDescent="0.25">
      <c r="A796">
        <v>8</v>
      </c>
      <c r="B796" t="s">
        <v>2681</v>
      </c>
      <c r="C796">
        <v>11</v>
      </c>
      <c r="D796" s="128">
        <v>4.1232064879249998E-2</v>
      </c>
      <c r="F796" s="3" t="s">
        <v>943</v>
      </c>
      <c r="G796" s="3">
        <v>6.2074999999999999E-4</v>
      </c>
    </row>
    <row r="797" spans="1:7" ht="15" x14ac:dyDescent="0.25">
      <c r="A797">
        <v>8</v>
      </c>
      <c r="B797" t="s">
        <v>2681</v>
      </c>
      <c r="C797">
        <v>12</v>
      </c>
      <c r="D797" s="128">
        <v>4.7719549366320002E-2</v>
      </c>
      <c r="F797" s="3" t="s">
        <v>944</v>
      </c>
      <c r="G797" s="3">
        <v>9.1759000000000003E-4</v>
      </c>
    </row>
    <row r="798" spans="1:7" ht="15" x14ac:dyDescent="0.25">
      <c r="A798">
        <v>8</v>
      </c>
      <c r="B798" t="s">
        <v>2681</v>
      </c>
      <c r="C798">
        <v>13</v>
      </c>
      <c r="D798" s="128">
        <v>5.4603382739500002E-2</v>
      </c>
      <c r="F798" s="3" t="s">
        <v>945</v>
      </c>
      <c r="G798" s="3">
        <v>1.3948400000000001E-3</v>
      </c>
    </row>
    <row r="799" spans="1:7" ht="15" x14ac:dyDescent="0.25">
      <c r="A799">
        <v>8</v>
      </c>
      <c r="B799" t="s">
        <v>2681</v>
      </c>
      <c r="C799">
        <v>14</v>
      </c>
      <c r="D799" s="128">
        <v>6.1862929817180001E-2</v>
      </c>
      <c r="F799" s="3" t="s">
        <v>946</v>
      </c>
      <c r="G799" s="3">
        <v>2.1246300000000002E-3</v>
      </c>
    </row>
    <row r="800" spans="1:7" ht="15" x14ac:dyDescent="0.25">
      <c r="A800">
        <v>8</v>
      </c>
      <c r="B800" t="s">
        <v>2681</v>
      </c>
      <c r="C800">
        <v>15</v>
      </c>
      <c r="D800" s="128">
        <v>6.9477113289869996E-2</v>
      </c>
      <c r="F800" s="3" t="s">
        <v>947</v>
      </c>
      <c r="G800" s="3">
        <v>3.07018E-3</v>
      </c>
    </row>
    <row r="801" spans="1:7" ht="15" x14ac:dyDescent="0.25">
      <c r="A801">
        <v>8</v>
      </c>
      <c r="B801" t="s">
        <v>2681</v>
      </c>
      <c r="C801">
        <v>16</v>
      </c>
      <c r="D801" s="128">
        <v>7.7424766566310005E-2</v>
      </c>
      <c r="F801" s="3" t="s">
        <v>948</v>
      </c>
      <c r="G801" s="3">
        <v>4.4445400000000003E-3</v>
      </c>
    </row>
    <row r="802" spans="1:7" ht="15" x14ac:dyDescent="0.25">
      <c r="A802">
        <v>8</v>
      </c>
      <c r="B802" t="s">
        <v>2681</v>
      </c>
      <c r="C802">
        <v>17</v>
      </c>
      <c r="D802" s="128">
        <v>8.5684932837690006E-2</v>
      </c>
      <c r="F802" s="3" t="s">
        <v>949</v>
      </c>
      <c r="G802" s="3">
        <v>7.5560000000000002E-3</v>
      </c>
    </row>
    <row r="803" spans="1:7" ht="15" x14ac:dyDescent="0.25">
      <c r="A803">
        <v>8</v>
      </c>
      <c r="B803" t="s">
        <v>2681</v>
      </c>
      <c r="C803">
        <v>18</v>
      </c>
      <c r="D803" s="128">
        <v>9.4236947423510006E-2</v>
      </c>
      <c r="F803" s="3" t="s">
        <v>950</v>
      </c>
      <c r="G803" s="3">
        <v>1.3210009999999999E-2</v>
      </c>
    </row>
    <row r="804" spans="1:7" ht="15" x14ac:dyDescent="0.25">
      <c r="A804">
        <v>8</v>
      </c>
      <c r="B804" t="s">
        <v>2681</v>
      </c>
      <c r="C804">
        <v>19</v>
      </c>
      <c r="D804" s="128">
        <v>0.10306041163307</v>
      </c>
      <c r="F804" s="3" t="s">
        <v>951</v>
      </c>
      <c r="G804" s="3">
        <v>2.3749880000000001E-2</v>
      </c>
    </row>
    <row r="805" spans="1:7" ht="15" x14ac:dyDescent="0.25">
      <c r="A805">
        <v>8</v>
      </c>
      <c r="B805" t="s">
        <v>2681</v>
      </c>
      <c r="C805">
        <v>20</v>
      </c>
      <c r="D805" s="128">
        <v>0.11213596284991</v>
      </c>
      <c r="F805" s="3" t="s">
        <v>952</v>
      </c>
      <c r="G805" s="3">
        <v>4.3910339999999999E-2</v>
      </c>
    </row>
    <row r="806" spans="1:7" ht="15" x14ac:dyDescent="0.25">
      <c r="A806">
        <v>8</v>
      </c>
      <c r="B806" t="s">
        <v>2681</v>
      </c>
      <c r="C806">
        <v>21</v>
      </c>
      <c r="D806" s="128">
        <v>0.12144449782320001</v>
      </c>
      <c r="F806" s="3" t="s">
        <v>953</v>
      </c>
      <c r="G806" s="3">
        <v>8.3487039999999998E-2</v>
      </c>
    </row>
    <row r="807" spans="1:7" ht="15" x14ac:dyDescent="0.25">
      <c r="A807">
        <v>8</v>
      </c>
      <c r="B807" t="s">
        <v>2681</v>
      </c>
      <c r="C807">
        <v>22</v>
      </c>
      <c r="D807" s="128">
        <v>0.13096825972507001</v>
      </c>
      <c r="F807" s="3" t="s">
        <v>954</v>
      </c>
      <c r="G807" s="3">
        <v>0.16323687000000001</v>
      </c>
    </row>
    <row r="808" spans="1:7" ht="15" x14ac:dyDescent="0.25">
      <c r="A808">
        <v>8</v>
      </c>
      <c r="B808" t="s">
        <v>2681</v>
      </c>
      <c r="C808">
        <v>23</v>
      </c>
      <c r="D808" s="128">
        <v>0.14068969916029</v>
      </c>
      <c r="F808" s="3" t="s">
        <v>955</v>
      </c>
      <c r="G808" s="3">
        <v>0.25</v>
      </c>
    </row>
    <row r="809" spans="1:7" ht="15" x14ac:dyDescent="0.25">
      <c r="A809">
        <v>8</v>
      </c>
      <c r="B809" t="s">
        <v>2681</v>
      </c>
      <c r="C809">
        <v>24</v>
      </c>
      <c r="D809" s="128">
        <v>0.15059277872585</v>
      </c>
      <c r="F809" s="3" t="s">
        <v>956</v>
      </c>
      <c r="G809" s="3">
        <v>0.35</v>
      </c>
    </row>
    <row r="810" spans="1:7" ht="15" x14ac:dyDescent="0.25">
      <c r="A810">
        <v>8</v>
      </c>
      <c r="B810" t="s">
        <v>2681</v>
      </c>
      <c r="C810">
        <v>25</v>
      </c>
      <c r="D810" s="128">
        <v>0.16066188795026001</v>
      </c>
      <c r="F810" s="3" t="s">
        <v>957</v>
      </c>
      <c r="G810" s="3">
        <v>1</v>
      </c>
    </row>
    <row r="811" spans="1:7" ht="15" x14ac:dyDescent="0.25">
      <c r="A811">
        <v>8</v>
      </c>
      <c r="B811" t="s">
        <v>2681</v>
      </c>
      <c r="C811">
        <v>26</v>
      </c>
      <c r="D811" s="128">
        <v>0.17088278599178</v>
      </c>
      <c r="F811" s="3" t="s">
        <v>958</v>
      </c>
      <c r="G811" s="3">
        <v>1</v>
      </c>
    </row>
    <row r="812" spans="1:7" ht="15" x14ac:dyDescent="0.25">
      <c r="A812">
        <v>8</v>
      </c>
      <c r="B812" t="s">
        <v>2681</v>
      </c>
      <c r="C812">
        <v>27</v>
      </c>
      <c r="D812" s="128">
        <v>0.18124156125808999</v>
      </c>
      <c r="F812" s="3" t="s">
        <v>959</v>
      </c>
      <c r="G812" s="3">
        <v>1</v>
      </c>
    </row>
    <row r="813" spans="1:7" ht="15" x14ac:dyDescent="0.25">
      <c r="A813">
        <v>8</v>
      </c>
      <c r="B813" t="s">
        <v>2681</v>
      </c>
      <c r="C813">
        <v>28</v>
      </c>
      <c r="D813" s="128">
        <v>0.19172560135307001</v>
      </c>
      <c r="F813" s="3" t="s">
        <v>960</v>
      </c>
      <c r="G813" s="3">
        <v>0.16323687000000001</v>
      </c>
    </row>
    <row r="814" spans="1:7" ht="15" x14ac:dyDescent="0.25">
      <c r="A814">
        <v>8</v>
      </c>
      <c r="B814" t="s">
        <v>2681</v>
      </c>
      <c r="C814">
        <v>29</v>
      </c>
      <c r="D814" s="128">
        <v>0.20232320460157999</v>
      </c>
      <c r="F814" s="3" t="s">
        <v>961</v>
      </c>
      <c r="G814" s="3">
        <v>1E-4</v>
      </c>
    </row>
    <row r="815" spans="1:7" ht="15" x14ac:dyDescent="0.25">
      <c r="A815">
        <v>8</v>
      </c>
      <c r="B815" t="s">
        <v>2681</v>
      </c>
      <c r="C815">
        <v>30</v>
      </c>
      <c r="D815" s="128">
        <v>0.21302362616659001</v>
      </c>
      <c r="F815" s="3" t="s">
        <v>962</v>
      </c>
      <c r="G815" s="3">
        <v>2.0000000000000001E-4</v>
      </c>
    </row>
    <row r="816" spans="1:7" ht="15" x14ac:dyDescent="0.25">
      <c r="A816">
        <v>8</v>
      </c>
      <c r="B816" t="s">
        <v>2681</v>
      </c>
      <c r="C816">
        <v>31</v>
      </c>
      <c r="D816" s="128">
        <v>0.22381600029643001</v>
      </c>
      <c r="F816" s="3" t="s">
        <v>963</v>
      </c>
      <c r="G816" s="3">
        <v>2.9999999999999997E-4</v>
      </c>
    </row>
    <row r="817" spans="1:7" ht="15" x14ac:dyDescent="0.25">
      <c r="A817">
        <v>8</v>
      </c>
      <c r="B817" t="s">
        <v>2681</v>
      </c>
      <c r="C817">
        <v>32</v>
      </c>
      <c r="D817" s="128">
        <v>0.23469152489513001</v>
      </c>
      <c r="F817" s="3" t="s">
        <v>964</v>
      </c>
      <c r="G817" s="3">
        <v>4.0000000000000002E-4</v>
      </c>
    </row>
    <row r="818" spans="1:7" ht="15" x14ac:dyDescent="0.25">
      <c r="A818">
        <v>8</v>
      </c>
      <c r="B818" t="s">
        <v>2681</v>
      </c>
      <c r="C818">
        <v>33</v>
      </c>
      <c r="D818" s="128">
        <v>0.24564159538339</v>
      </c>
      <c r="F818" s="3" t="s">
        <v>965</v>
      </c>
      <c r="G818" s="3">
        <v>5.0000000000000001E-4</v>
      </c>
    </row>
    <row r="819" spans="1:7" ht="15" x14ac:dyDescent="0.25">
      <c r="A819">
        <v>8</v>
      </c>
      <c r="B819" t="s">
        <v>2681</v>
      </c>
      <c r="C819">
        <v>34</v>
      </c>
      <c r="D819" s="128">
        <v>0.25665740596914</v>
      </c>
      <c r="F819" s="3" t="s">
        <v>966</v>
      </c>
      <c r="G819" s="3">
        <v>6.9999999999999999E-4</v>
      </c>
    </row>
    <row r="820" spans="1:7" ht="15" x14ac:dyDescent="0.25">
      <c r="A820">
        <v>8</v>
      </c>
      <c r="B820" t="s">
        <v>2681</v>
      </c>
      <c r="C820">
        <v>35</v>
      </c>
      <c r="D820" s="128">
        <v>0.26773266975528998</v>
      </c>
      <c r="F820" s="3" t="s">
        <v>967</v>
      </c>
      <c r="G820" s="3">
        <v>8.9999999999999998E-4</v>
      </c>
    </row>
    <row r="821" spans="1:7" ht="15" x14ac:dyDescent="0.25">
      <c r="A821">
        <v>8</v>
      </c>
      <c r="B821" t="s">
        <v>2681</v>
      </c>
      <c r="C821">
        <v>36</v>
      </c>
      <c r="D821" s="128">
        <v>0.27885964827689003</v>
      </c>
      <c r="F821" s="3" t="s">
        <v>968</v>
      </c>
      <c r="G821" s="3">
        <v>1.4E-3</v>
      </c>
    </row>
    <row r="822" spans="1:7" ht="15" x14ac:dyDescent="0.25">
      <c r="A822">
        <v>8</v>
      </c>
      <c r="B822" t="s">
        <v>2681</v>
      </c>
      <c r="C822">
        <v>37</v>
      </c>
      <c r="D822" s="128">
        <v>0.29003285997300998</v>
      </c>
      <c r="F822" s="3" t="s">
        <v>969</v>
      </c>
      <c r="G822" s="3">
        <v>2.2000000000000001E-3</v>
      </c>
    </row>
    <row r="823" spans="1:7" ht="15" x14ac:dyDescent="0.25">
      <c r="A823">
        <v>8</v>
      </c>
      <c r="B823" t="s">
        <v>2681</v>
      </c>
      <c r="C823">
        <v>38</v>
      </c>
      <c r="D823" s="128">
        <v>0.30124655082877</v>
      </c>
      <c r="F823" s="3" t="s">
        <v>970</v>
      </c>
      <c r="G823" s="3">
        <v>4.0000000000000001E-3</v>
      </c>
    </row>
    <row r="824" spans="1:7" ht="15" x14ac:dyDescent="0.25">
      <c r="A824">
        <v>8</v>
      </c>
      <c r="B824" t="s">
        <v>2681</v>
      </c>
      <c r="C824">
        <v>39</v>
      </c>
      <c r="D824" s="128">
        <v>0.31249561942553</v>
      </c>
      <c r="F824" s="3" t="s">
        <v>971</v>
      </c>
      <c r="G824" s="3">
        <v>6.4999999999999997E-3</v>
      </c>
    </row>
    <row r="825" spans="1:7" ht="15" x14ac:dyDescent="0.25">
      <c r="A825">
        <v>8</v>
      </c>
      <c r="B825" t="s">
        <v>2681</v>
      </c>
      <c r="C825">
        <v>40</v>
      </c>
      <c r="D825" s="128">
        <v>0.32377489152166</v>
      </c>
      <c r="F825" s="3" t="s">
        <v>972</v>
      </c>
      <c r="G825" s="3">
        <v>1.15E-2</v>
      </c>
    </row>
    <row r="826" spans="1:7" ht="15" x14ac:dyDescent="0.25">
      <c r="A826">
        <v>8</v>
      </c>
      <c r="B826" t="s">
        <v>2681</v>
      </c>
      <c r="C826">
        <v>41</v>
      </c>
      <c r="D826" s="128">
        <v>0.33525175606770002</v>
      </c>
      <c r="F826" s="3" t="s">
        <v>973</v>
      </c>
      <c r="G826" s="3">
        <v>2.0500000000000001E-2</v>
      </c>
    </row>
    <row r="827" spans="1:7" ht="15" x14ac:dyDescent="0.25">
      <c r="A827">
        <v>8</v>
      </c>
      <c r="B827" t="s">
        <v>2681</v>
      </c>
      <c r="C827">
        <v>42</v>
      </c>
      <c r="D827" s="128">
        <v>0.34692908234197001</v>
      </c>
      <c r="F827" s="3" t="s">
        <v>974</v>
      </c>
      <c r="G827" s="3">
        <v>3.5000000000000003E-2</v>
      </c>
    </row>
    <row r="828" spans="1:7" ht="15" x14ac:dyDescent="0.25">
      <c r="A828">
        <v>8</v>
      </c>
      <c r="B828" t="s">
        <v>2681</v>
      </c>
      <c r="C828">
        <v>43</v>
      </c>
      <c r="D828" s="128">
        <v>0.35880977799921998</v>
      </c>
      <c r="F828" s="3" t="s">
        <v>975</v>
      </c>
      <c r="G828" s="3">
        <v>6.0999999999999999E-2</v>
      </c>
    </row>
    <row r="829" spans="1:7" ht="15" x14ac:dyDescent="0.25">
      <c r="A829">
        <v>8</v>
      </c>
      <c r="B829" t="s">
        <v>2681</v>
      </c>
      <c r="C829">
        <v>44</v>
      </c>
      <c r="D829" s="128">
        <v>0.37089678956576999</v>
      </c>
      <c r="F829" s="3" t="s">
        <v>976</v>
      </c>
      <c r="G829" s="3">
        <v>0.105</v>
      </c>
    </row>
    <row r="830" spans="1:7" ht="15" x14ac:dyDescent="0.25">
      <c r="A830">
        <v>8</v>
      </c>
      <c r="B830" t="s">
        <v>2681</v>
      </c>
      <c r="C830">
        <v>45</v>
      </c>
      <c r="D830" s="128">
        <v>0.38319310294078002</v>
      </c>
      <c r="F830" s="3" t="s">
        <v>977</v>
      </c>
      <c r="G830" s="3">
        <v>0.25</v>
      </c>
    </row>
    <row r="831" spans="1:7" ht="15" x14ac:dyDescent="0.25">
      <c r="A831">
        <v>8</v>
      </c>
      <c r="B831" t="s">
        <v>2681</v>
      </c>
      <c r="C831">
        <v>46</v>
      </c>
      <c r="D831" s="128">
        <v>0.39570174390415003</v>
      </c>
      <c r="F831" s="3" t="s">
        <v>978</v>
      </c>
      <c r="G831" s="3">
        <v>0.35</v>
      </c>
    </row>
    <row r="832" spans="1:7" ht="15" x14ac:dyDescent="0.25">
      <c r="A832">
        <v>8</v>
      </c>
      <c r="B832" t="s">
        <v>2681</v>
      </c>
      <c r="C832">
        <v>47</v>
      </c>
      <c r="D832" s="128">
        <v>0.40842577863079998</v>
      </c>
      <c r="F832" s="3" t="s">
        <v>979</v>
      </c>
      <c r="G832" s="3">
        <v>1</v>
      </c>
    </row>
    <row r="833" spans="1:7" ht="15" x14ac:dyDescent="0.25">
      <c r="A833">
        <v>8</v>
      </c>
      <c r="B833" t="s">
        <v>2681</v>
      </c>
      <c r="C833">
        <v>48</v>
      </c>
      <c r="D833" s="128">
        <v>0.42136831421177001</v>
      </c>
      <c r="F833" s="3" t="s">
        <v>980</v>
      </c>
      <c r="G833" s="3">
        <v>1</v>
      </c>
    </row>
    <row r="834" spans="1:7" ht="15" x14ac:dyDescent="0.25">
      <c r="A834">
        <v>8</v>
      </c>
      <c r="B834" t="s">
        <v>2681</v>
      </c>
      <c r="C834">
        <v>49</v>
      </c>
      <c r="D834" s="128">
        <v>0.43453249918183001</v>
      </c>
      <c r="F834" s="3" t="s">
        <v>981</v>
      </c>
      <c r="G834" s="3">
        <v>1</v>
      </c>
    </row>
    <row r="835" spans="1:7" ht="15" x14ac:dyDescent="0.25">
      <c r="A835">
        <v>8</v>
      </c>
      <c r="B835" t="s">
        <v>2681</v>
      </c>
      <c r="C835">
        <v>50</v>
      </c>
      <c r="D835" s="128">
        <v>0.44792152405402003</v>
      </c>
      <c r="F835" s="3" t="s">
        <v>982</v>
      </c>
      <c r="G835" s="3">
        <v>1E-4</v>
      </c>
    </row>
    <row r="836" spans="1:7" ht="15" x14ac:dyDescent="0.25">
      <c r="A836">
        <v>9</v>
      </c>
      <c r="B836" t="s">
        <v>2682</v>
      </c>
      <c r="C836">
        <v>1</v>
      </c>
      <c r="D836" s="128">
        <v>2.1192440121099998E-3</v>
      </c>
      <c r="F836" s="3" t="s">
        <v>983</v>
      </c>
      <c r="G836" s="3">
        <v>2.0000000000000001E-4</v>
      </c>
    </row>
    <row r="837" spans="1:7" ht="15" x14ac:dyDescent="0.25">
      <c r="A837">
        <v>9</v>
      </c>
      <c r="B837" t="s">
        <v>2682</v>
      </c>
      <c r="C837">
        <v>2</v>
      </c>
      <c r="D837" s="128">
        <v>5.17871813428E-3</v>
      </c>
      <c r="F837" s="3" t="s">
        <v>984</v>
      </c>
      <c r="G837" s="3">
        <v>2.9999999999999997E-4</v>
      </c>
    </row>
    <row r="838" spans="1:7" ht="15" x14ac:dyDescent="0.25">
      <c r="A838">
        <v>9</v>
      </c>
      <c r="B838" t="s">
        <v>2682</v>
      </c>
      <c r="C838">
        <v>3</v>
      </c>
      <c r="D838" s="128">
        <v>8.8908622570200001E-3</v>
      </c>
      <c r="F838" s="3" t="s">
        <v>985</v>
      </c>
      <c r="G838" s="3">
        <v>4.0000000000000002E-4</v>
      </c>
    </row>
    <row r="839" spans="1:7" ht="15" x14ac:dyDescent="0.25">
      <c r="A839">
        <v>9</v>
      </c>
      <c r="B839" t="s">
        <v>2682</v>
      </c>
      <c r="C839">
        <v>4</v>
      </c>
      <c r="D839" s="128">
        <v>1.3296157184569999E-2</v>
      </c>
      <c r="F839" s="3" t="s">
        <v>986</v>
      </c>
      <c r="G839" s="3">
        <v>9.1759000000000003E-4</v>
      </c>
    </row>
    <row r="840" spans="1:7" ht="15" x14ac:dyDescent="0.25">
      <c r="A840">
        <v>9</v>
      </c>
      <c r="B840" t="s">
        <v>2682</v>
      </c>
      <c r="C840">
        <v>5</v>
      </c>
      <c r="D840" s="128">
        <v>1.7701397347659999E-2</v>
      </c>
      <c r="F840" s="3" t="s">
        <v>987</v>
      </c>
      <c r="G840" s="3">
        <v>1.3948400000000001E-3</v>
      </c>
    </row>
    <row r="841" spans="1:7" ht="15" x14ac:dyDescent="0.25">
      <c r="A841">
        <v>9</v>
      </c>
      <c r="B841" t="s">
        <v>2682</v>
      </c>
      <c r="C841">
        <v>6</v>
      </c>
      <c r="D841" s="128">
        <v>2.327852570254E-2</v>
      </c>
      <c r="F841" s="3" t="s">
        <v>988</v>
      </c>
      <c r="G841" s="3">
        <v>2.1246300000000002E-3</v>
      </c>
    </row>
    <row r="842" spans="1:7" ht="15" x14ac:dyDescent="0.25">
      <c r="A842">
        <v>9</v>
      </c>
      <c r="B842" t="s">
        <v>2682</v>
      </c>
      <c r="C842">
        <v>7</v>
      </c>
      <c r="D842" s="128">
        <v>2.952391879519E-2</v>
      </c>
      <c r="F842" s="3" t="s">
        <v>989</v>
      </c>
      <c r="G842" s="3">
        <v>3.07018E-3</v>
      </c>
    </row>
    <row r="843" spans="1:7" ht="15" x14ac:dyDescent="0.25">
      <c r="A843">
        <v>9</v>
      </c>
      <c r="B843" t="s">
        <v>2682</v>
      </c>
      <c r="C843">
        <v>8</v>
      </c>
      <c r="D843" s="128">
        <v>3.6411332758299997E-2</v>
      </c>
      <c r="F843" s="3" t="s">
        <v>990</v>
      </c>
      <c r="G843" s="3">
        <v>1E-4</v>
      </c>
    </row>
    <row r="844" spans="1:7" ht="15" x14ac:dyDescent="0.25">
      <c r="A844">
        <v>9</v>
      </c>
      <c r="B844" t="s">
        <v>2682</v>
      </c>
      <c r="C844">
        <v>9</v>
      </c>
      <c r="D844" s="128">
        <v>4.3910680040519998E-2</v>
      </c>
      <c r="F844" s="3" t="s">
        <v>991</v>
      </c>
      <c r="G844" s="3">
        <v>2.0000000000000001E-4</v>
      </c>
    </row>
    <row r="845" spans="1:7" ht="15" x14ac:dyDescent="0.25">
      <c r="A845">
        <v>9</v>
      </c>
      <c r="B845" t="s">
        <v>2682</v>
      </c>
      <c r="C845">
        <v>10</v>
      </c>
      <c r="D845" s="128">
        <v>5.1988345509739999E-2</v>
      </c>
      <c r="F845" s="3" t="s">
        <v>992</v>
      </c>
      <c r="G845" s="3">
        <v>3.0747000000000001E-4</v>
      </c>
    </row>
    <row r="846" spans="1:7" ht="15" x14ac:dyDescent="0.25">
      <c r="A846">
        <v>9</v>
      </c>
      <c r="B846" t="s">
        <v>2682</v>
      </c>
      <c r="C846">
        <v>11</v>
      </c>
      <c r="D846" s="128">
        <v>6.0608991443170002E-2</v>
      </c>
      <c r="F846" s="3" t="s">
        <v>993</v>
      </c>
      <c r="G846" s="3">
        <v>6.5450000000000003E-4</v>
      </c>
    </row>
    <row r="847" spans="1:7" ht="15" x14ac:dyDescent="0.25">
      <c r="A847">
        <v>9</v>
      </c>
      <c r="B847" t="s">
        <v>2682</v>
      </c>
      <c r="C847">
        <v>12</v>
      </c>
      <c r="D847" s="128">
        <v>6.9735878212800001E-2</v>
      </c>
      <c r="F847" s="3" t="s">
        <v>994</v>
      </c>
      <c r="G847" s="3">
        <v>1.3188799999999999E-3</v>
      </c>
    </row>
    <row r="848" spans="1:7" ht="15" x14ac:dyDescent="0.25">
      <c r="A848">
        <v>9</v>
      </c>
      <c r="B848" t="s">
        <v>2682</v>
      </c>
      <c r="C848">
        <v>13</v>
      </c>
      <c r="D848" s="128">
        <v>7.9331792316809993E-2</v>
      </c>
      <c r="F848" s="3" t="s">
        <v>995</v>
      </c>
      <c r="G848" s="3">
        <v>2.51534E-3</v>
      </c>
    </row>
    <row r="849" spans="1:7" ht="15" x14ac:dyDescent="0.25">
      <c r="A849">
        <v>9</v>
      </c>
      <c r="B849" t="s">
        <v>2682</v>
      </c>
      <c r="C849">
        <v>14</v>
      </c>
      <c r="D849" s="128">
        <v>8.9359682116969999E-2</v>
      </c>
      <c r="F849" s="3" t="s">
        <v>996</v>
      </c>
      <c r="G849" s="3">
        <v>1E-4</v>
      </c>
    </row>
    <row r="850" spans="1:7" ht="15" x14ac:dyDescent="0.25">
      <c r="A850">
        <v>9</v>
      </c>
      <c r="B850" t="s">
        <v>2682</v>
      </c>
      <c r="C850">
        <v>15</v>
      </c>
      <c r="D850" s="128">
        <v>9.9783074059430002E-2</v>
      </c>
      <c r="F850" s="3" t="s">
        <v>997</v>
      </c>
      <c r="G850" s="3">
        <v>1E-4</v>
      </c>
    </row>
    <row r="851" spans="1:7" ht="15" x14ac:dyDescent="0.25">
      <c r="A851">
        <v>9</v>
      </c>
      <c r="B851" t="s">
        <v>2682</v>
      </c>
      <c r="C851">
        <v>16</v>
      </c>
      <c r="D851" s="128">
        <v>0.11056641595991</v>
      </c>
      <c r="F851" s="3" t="s">
        <v>998</v>
      </c>
      <c r="G851" s="3">
        <v>1E-4</v>
      </c>
    </row>
    <row r="852" spans="1:7" ht="15" x14ac:dyDescent="0.25">
      <c r="A852">
        <v>9</v>
      </c>
      <c r="B852" t="s">
        <v>2682</v>
      </c>
      <c r="C852">
        <v>17</v>
      </c>
      <c r="D852" s="128">
        <v>0.12167572425579</v>
      </c>
      <c r="F852" s="3" t="s">
        <v>999</v>
      </c>
      <c r="G852" s="3">
        <v>1E-4</v>
      </c>
    </row>
    <row r="853" spans="1:7" ht="15" x14ac:dyDescent="0.25">
      <c r="A853">
        <v>9</v>
      </c>
      <c r="B853" t="s">
        <v>2682</v>
      </c>
      <c r="C853">
        <v>18</v>
      </c>
      <c r="D853" s="128">
        <v>0.13307823834866001</v>
      </c>
      <c r="F853" s="3" t="s">
        <v>1000</v>
      </c>
      <c r="G853" s="3">
        <v>4.5389100000000002E-3</v>
      </c>
    </row>
    <row r="854" spans="1:7" ht="15" x14ac:dyDescent="0.25">
      <c r="A854">
        <v>9</v>
      </c>
      <c r="B854" t="s">
        <v>2682</v>
      </c>
      <c r="C854">
        <v>19</v>
      </c>
      <c r="D854" s="128">
        <v>0.14474296687706001</v>
      </c>
      <c r="F854" s="3" t="s">
        <v>1001</v>
      </c>
      <c r="G854" s="3">
        <v>7.7466100000000001E-3</v>
      </c>
    </row>
    <row r="855" spans="1:7" ht="15" x14ac:dyDescent="0.25">
      <c r="A855">
        <v>9</v>
      </c>
      <c r="B855" t="s">
        <v>2682</v>
      </c>
      <c r="C855">
        <v>20</v>
      </c>
      <c r="D855" s="128">
        <v>0.1566409215248</v>
      </c>
      <c r="F855" s="3" t="s">
        <v>1002</v>
      </c>
      <c r="G855" s="3">
        <v>1.250009E-2</v>
      </c>
    </row>
    <row r="856" spans="1:7" ht="15" x14ac:dyDescent="0.25">
      <c r="A856">
        <v>9</v>
      </c>
      <c r="B856" t="s">
        <v>2682</v>
      </c>
      <c r="C856">
        <v>21</v>
      </c>
      <c r="D856" s="128">
        <v>0.16874490890947999</v>
      </c>
      <c r="F856" s="3" t="s">
        <v>1003</v>
      </c>
      <c r="G856" s="3">
        <v>5.0000000000000001E-4</v>
      </c>
    </row>
    <row r="857" spans="1:7" ht="15" x14ac:dyDescent="0.25">
      <c r="A857">
        <v>9</v>
      </c>
      <c r="B857" t="s">
        <v>2682</v>
      </c>
      <c r="C857">
        <v>22</v>
      </c>
      <c r="D857" s="128">
        <v>0.18102976391277001</v>
      </c>
      <c r="F857" s="3" t="s">
        <v>1004</v>
      </c>
      <c r="G857" s="3">
        <v>6.9999999999999999E-4</v>
      </c>
    </row>
    <row r="858" spans="1:7" ht="15" x14ac:dyDescent="0.25">
      <c r="A858">
        <v>9</v>
      </c>
      <c r="B858" t="s">
        <v>2682</v>
      </c>
      <c r="C858">
        <v>23</v>
      </c>
      <c r="D858" s="128">
        <v>0.19347173567312001</v>
      </c>
      <c r="F858" s="3" t="s">
        <v>1005</v>
      </c>
      <c r="G858" s="3">
        <v>8.9999999999999998E-4</v>
      </c>
    </row>
    <row r="859" spans="1:7" ht="15" x14ac:dyDescent="0.25">
      <c r="A859">
        <v>9</v>
      </c>
      <c r="B859" t="s">
        <v>2682</v>
      </c>
      <c r="C859">
        <v>24</v>
      </c>
      <c r="D859" s="128">
        <v>0.20604942019783001</v>
      </c>
      <c r="F859" s="3" t="s">
        <v>1006</v>
      </c>
      <c r="G859" s="3">
        <v>1.4E-3</v>
      </c>
    </row>
    <row r="860" spans="1:7" ht="15" x14ac:dyDescent="0.25">
      <c r="A860">
        <v>9</v>
      </c>
      <c r="B860" t="s">
        <v>2682</v>
      </c>
      <c r="C860">
        <v>25</v>
      </c>
      <c r="D860" s="128">
        <v>0.21874307219142</v>
      </c>
      <c r="F860" s="3" t="s">
        <v>1007</v>
      </c>
      <c r="G860" s="3">
        <v>2.2000000000000001E-3</v>
      </c>
    </row>
    <row r="861" spans="1:7" ht="15" x14ac:dyDescent="0.25">
      <c r="A861">
        <v>9</v>
      </c>
      <c r="B861" t="s">
        <v>2682</v>
      </c>
      <c r="C861">
        <v>26</v>
      </c>
      <c r="D861" s="128">
        <v>0.23153489267850999</v>
      </c>
      <c r="F861" s="3" t="s">
        <v>1008</v>
      </c>
      <c r="G861" s="3">
        <v>4.0000000000000001E-3</v>
      </c>
    </row>
    <row r="862" spans="1:7" ht="15" x14ac:dyDescent="0.25">
      <c r="A862">
        <v>9</v>
      </c>
      <c r="B862" t="s">
        <v>2682</v>
      </c>
      <c r="C862">
        <v>27</v>
      </c>
      <c r="D862" s="128">
        <v>0.24440787899801</v>
      </c>
      <c r="F862" s="3" t="s">
        <v>1009</v>
      </c>
      <c r="G862" s="3">
        <v>6.4999999999999997E-3</v>
      </c>
    </row>
    <row r="863" spans="1:7" ht="15" x14ac:dyDescent="0.25">
      <c r="A863">
        <v>9</v>
      </c>
      <c r="B863" t="s">
        <v>2682</v>
      </c>
      <c r="C863">
        <v>28</v>
      </c>
      <c r="D863" s="128">
        <v>0.25734775216257</v>
      </c>
      <c r="F863" s="3" t="s">
        <v>1010</v>
      </c>
      <c r="G863" s="3">
        <v>1.15E-2</v>
      </c>
    </row>
    <row r="864" spans="1:7" ht="15" x14ac:dyDescent="0.25">
      <c r="A864">
        <v>9</v>
      </c>
      <c r="B864" t="s">
        <v>2682</v>
      </c>
      <c r="C864">
        <v>29</v>
      </c>
      <c r="D864" s="128">
        <v>0.27034105080432003</v>
      </c>
      <c r="F864" s="3" t="s">
        <v>1011</v>
      </c>
      <c r="G864" s="3">
        <v>2.0500000000000001E-2</v>
      </c>
    </row>
    <row r="865" spans="1:7" ht="15" x14ac:dyDescent="0.25">
      <c r="A865">
        <v>9</v>
      </c>
      <c r="B865" t="s">
        <v>2682</v>
      </c>
      <c r="C865">
        <v>30</v>
      </c>
      <c r="D865" s="128">
        <v>0.28337554674729998</v>
      </c>
      <c r="F865" s="3" t="s">
        <v>1012</v>
      </c>
      <c r="G865" s="3">
        <v>3.5000000000000003E-2</v>
      </c>
    </row>
    <row r="866" spans="1:7" ht="15" x14ac:dyDescent="0.25">
      <c r="A866">
        <v>9</v>
      </c>
      <c r="B866" t="s">
        <v>2682</v>
      </c>
      <c r="C866">
        <v>31</v>
      </c>
      <c r="D866" s="128">
        <v>0.29644019978149999</v>
      </c>
      <c r="F866" s="3" t="s">
        <v>1013</v>
      </c>
      <c r="G866" s="3">
        <v>6.0999999999999999E-2</v>
      </c>
    </row>
    <row r="867" spans="1:7" ht="15" x14ac:dyDescent="0.25">
      <c r="A867">
        <v>9</v>
      </c>
      <c r="B867" t="s">
        <v>2682</v>
      </c>
      <c r="C867">
        <v>32</v>
      </c>
      <c r="D867" s="128">
        <v>0.30952599758605998</v>
      </c>
      <c r="F867" s="3" t="s">
        <v>1014</v>
      </c>
      <c r="G867" s="3">
        <v>0.105</v>
      </c>
    </row>
    <row r="868" spans="1:7" ht="15" x14ac:dyDescent="0.25">
      <c r="A868">
        <v>9</v>
      </c>
      <c r="B868" t="s">
        <v>2682</v>
      </c>
      <c r="C868">
        <v>33</v>
      </c>
      <c r="D868" s="128">
        <v>0.32262391863720002</v>
      </c>
      <c r="F868" s="3" t="s">
        <v>1015</v>
      </c>
      <c r="G868" s="3">
        <v>0.25</v>
      </c>
    </row>
    <row r="869" spans="1:7" ht="15" x14ac:dyDescent="0.25">
      <c r="A869">
        <v>9</v>
      </c>
      <c r="B869" t="s">
        <v>2682</v>
      </c>
      <c r="C869">
        <v>34</v>
      </c>
      <c r="D869" s="128">
        <v>0.33572626956467</v>
      </c>
      <c r="F869" s="3" t="s">
        <v>1016</v>
      </c>
      <c r="G869" s="3">
        <v>0.35</v>
      </c>
    </row>
    <row r="870" spans="1:7" ht="15" x14ac:dyDescent="0.25">
      <c r="A870">
        <v>9</v>
      </c>
      <c r="B870" t="s">
        <v>2682</v>
      </c>
      <c r="C870">
        <v>35</v>
      </c>
      <c r="D870" s="128">
        <v>0.34882894571445</v>
      </c>
      <c r="F870" s="3" t="s">
        <v>1017</v>
      </c>
      <c r="G870" s="3">
        <v>1</v>
      </c>
    </row>
    <row r="871" spans="1:7" ht="15" x14ac:dyDescent="0.25">
      <c r="A871">
        <v>9</v>
      </c>
      <c r="B871" t="s">
        <v>2682</v>
      </c>
      <c r="C871">
        <v>36</v>
      </c>
      <c r="D871" s="128">
        <v>0.3619314234205</v>
      </c>
      <c r="F871" s="3" t="s">
        <v>1018</v>
      </c>
      <c r="G871" s="3">
        <v>1</v>
      </c>
    </row>
    <row r="872" spans="1:7" ht="15" x14ac:dyDescent="0.25">
      <c r="A872">
        <v>9</v>
      </c>
      <c r="B872" t="s">
        <v>2682</v>
      </c>
      <c r="C872">
        <v>37</v>
      </c>
      <c r="D872" s="128">
        <v>0.37503396580748999</v>
      </c>
      <c r="F872" s="3" t="s">
        <v>1019</v>
      </c>
      <c r="G872" s="3">
        <v>1</v>
      </c>
    </row>
    <row r="873" spans="1:7" ht="15" x14ac:dyDescent="0.25">
      <c r="A873">
        <v>9</v>
      </c>
      <c r="B873" t="s">
        <v>2682</v>
      </c>
      <c r="C873">
        <v>38</v>
      </c>
      <c r="D873" s="128">
        <v>0.38813643252107</v>
      </c>
      <c r="F873" s="3" t="s">
        <v>1020</v>
      </c>
      <c r="G873" s="3">
        <v>1</v>
      </c>
    </row>
    <row r="874" spans="1:7" ht="15" x14ac:dyDescent="0.25">
      <c r="A874">
        <v>9</v>
      </c>
      <c r="B874" t="s">
        <v>2682</v>
      </c>
      <c r="C874">
        <v>39</v>
      </c>
      <c r="D874" s="128">
        <v>0.40123872216987</v>
      </c>
      <c r="F874" s="3" t="s">
        <v>1021</v>
      </c>
      <c r="G874" s="3">
        <v>1</v>
      </c>
    </row>
    <row r="875" spans="1:7" ht="15" x14ac:dyDescent="0.25">
      <c r="A875">
        <v>9</v>
      </c>
      <c r="B875" t="s">
        <v>2682</v>
      </c>
      <c r="C875">
        <v>40</v>
      </c>
      <c r="D875" s="128">
        <v>0.41434132576026</v>
      </c>
      <c r="F875" s="3" t="s">
        <v>1022</v>
      </c>
      <c r="G875" s="3">
        <v>1</v>
      </c>
    </row>
    <row r="876" spans="1:7" ht="15" x14ac:dyDescent="0.25">
      <c r="A876">
        <v>9</v>
      </c>
      <c r="B876" t="s">
        <v>2682</v>
      </c>
      <c r="C876">
        <v>41</v>
      </c>
      <c r="D876" s="128">
        <v>0.42760448305840998</v>
      </c>
      <c r="F876" s="3" t="s">
        <v>1023</v>
      </c>
      <c r="G876" s="3">
        <v>1.9064649999999999E-2</v>
      </c>
    </row>
    <row r="877" spans="1:7" ht="15" x14ac:dyDescent="0.25">
      <c r="A877">
        <v>9</v>
      </c>
      <c r="B877" t="s">
        <v>2682</v>
      </c>
      <c r="C877">
        <v>42</v>
      </c>
      <c r="D877" s="128">
        <v>0.44102978631703998</v>
      </c>
      <c r="F877" s="3" t="s">
        <v>1024</v>
      </c>
      <c r="G877" s="3">
        <v>2.7480460000000002E-2</v>
      </c>
    </row>
    <row r="878" spans="1:7" ht="15" x14ac:dyDescent="0.25">
      <c r="A878">
        <v>9</v>
      </c>
      <c r="B878" t="s">
        <v>2682</v>
      </c>
      <c r="C878">
        <v>43</v>
      </c>
      <c r="D878" s="128">
        <v>0.45461884225305998</v>
      </c>
      <c r="F878" s="3" t="s">
        <v>1025</v>
      </c>
      <c r="G878" s="3">
        <v>3.7446630000000002E-2</v>
      </c>
    </row>
    <row r="879" spans="1:7" ht="15" x14ac:dyDescent="0.25">
      <c r="A879">
        <v>9</v>
      </c>
      <c r="B879" t="s">
        <v>2682</v>
      </c>
      <c r="C879">
        <v>44</v>
      </c>
      <c r="D879" s="128">
        <v>0.46837327217435998</v>
      </c>
      <c r="F879" s="3" t="s">
        <v>1026</v>
      </c>
      <c r="G879" s="3">
        <v>4.8271250000000002E-2</v>
      </c>
    </row>
    <row r="880" spans="1:7" ht="15" x14ac:dyDescent="0.25">
      <c r="A880">
        <v>9</v>
      </c>
      <c r="B880" t="s">
        <v>2682</v>
      </c>
      <c r="C880">
        <v>45</v>
      </c>
      <c r="D880" s="128">
        <v>0.48229471210767</v>
      </c>
      <c r="F880" s="3" t="s">
        <v>1027</v>
      </c>
      <c r="G880" s="3">
        <v>5.8926600000000003E-2</v>
      </c>
    </row>
    <row r="881" spans="1:7" ht="15" x14ac:dyDescent="0.25">
      <c r="A881">
        <v>9</v>
      </c>
      <c r="B881" t="s">
        <v>2682</v>
      </c>
      <c r="C881">
        <v>46</v>
      </c>
      <c r="D881" s="128">
        <v>0.49638481292766001</v>
      </c>
      <c r="F881" s="3" t="s">
        <v>1028</v>
      </c>
      <c r="G881" s="3">
        <v>6.8209329999999999E-2</v>
      </c>
    </row>
    <row r="882" spans="1:7" ht="15" x14ac:dyDescent="0.25">
      <c r="A882">
        <v>9</v>
      </c>
      <c r="B882" t="s">
        <v>2682</v>
      </c>
      <c r="C882">
        <v>47</v>
      </c>
      <c r="D882" s="128">
        <v>0.51064524048712001</v>
      </c>
      <c r="F882" s="3" t="s">
        <v>1029</v>
      </c>
      <c r="G882" s="3">
        <v>7.496303E-2</v>
      </c>
    </row>
    <row r="883" spans="1:7" ht="15" x14ac:dyDescent="0.25">
      <c r="A883">
        <v>9</v>
      </c>
      <c r="B883" t="s">
        <v>2682</v>
      </c>
      <c r="C883">
        <v>48</v>
      </c>
      <c r="D883" s="128">
        <v>0.52507767574828002</v>
      </c>
      <c r="F883" s="3" t="s">
        <v>1030</v>
      </c>
      <c r="G883" s="3">
        <v>8.3491750000000003E-2</v>
      </c>
    </row>
    <row r="884" spans="1:7" ht="15" x14ac:dyDescent="0.25">
      <c r="A884">
        <v>9</v>
      </c>
      <c r="B884" t="s">
        <v>2682</v>
      </c>
      <c r="C884">
        <v>49</v>
      </c>
      <c r="D884" s="128">
        <v>0.53968381491524997</v>
      </c>
      <c r="F884" s="3" t="s">
        <v>1031</v>
      </c>
      <c r="G884" s="3">
        <v>0.14282465</v>
      </c>
    </row>
    <row r="885" spans="1:7" ht="15" x14ac:dyDescent="0.25">
      <c r="A885">
        <v>9</v>
      </c>
      <c r="B885" t="s">
        <v>2682</v>
      </c>
      <c r="C885">
        <v>50</v>
      </c>
      <c r="D885" s="128">
        <v>0.55446536956772996</v>
      </c>
      <c r="F885" s="3" t="s">
        <v>1032</v>
      </c>
      <c r="G885" s="3">
        <v>0.16114834</v>
      </c>
    </row>
    <row r="886" spans="1:7" ht="15" x14ac:dyDescent="0.25">
      <c r="A886">
        <v>10</v>
      </c>
      <c r="B886" t="s">
        <v>2683</v>
      </c>
      <c r="C886">
        <v>1</v>
      </c>
      <c r="D886" s="128">
        <v>3.4090040571100001E-3</v>
      </c>
      <c r="F886" s="3" t="s">
        <v>1033</v>
      </c>
      <c r="G886" s="3">
        <v>1</v>
      </c>
    </row>
    <row r="887" spans="1:7" ht="15" x14ac:dyDescent="0.25">
      <c r="A887">
        <v>10</v>
      </c>
      <c r="B887" t="s">
        <v>2683</v>
      </c>
      <c r="C887">
        <v>2</v>
      </c>
      <c r="D887" s="128">
        <v>8.3819481055900005E-3</v>
      </c>
      <c r="F887" s="3" t="s">
        <v>1034</v>
      </c>
      <c r="G887" s="3">
        <v>1</v>
      </c>
    </row>
    <row r="888" spans="1:7" ht="15" x14ac:dyDescent="0.25">
      <c r="A888">
        <v>10</v>
      </c>
      <c r="B888" t="s">
        <v>2683</v>
      </c>
      <c r="C888">
        <v>3</v>
      </c>
      <c r="D888" s="128">
        <v>1.4150417404080001E-2</v>
      </c>
      <c r="F888" s="3" t="s">
        <v>1035</v>
      </c>
      <c r="G888" s="3">
        <v>1</v>
      </c>
    </row>
    <row r="889" spans="1:7" ht="15" x14ac:dyDescent="0.25">
      <c r="A889">
        <v>10</v>
      </c>
      <c r="B889" t="s">
        <v>2683</v>
      </c>
      <c r="C889">
        <v>4</v>
      </c>
      <c r="D889" s="128">
        <v>2.0738439709140001E-2</v>
      </c>
      <c r="F889" s="3" t="s">
        <v>1036</v>
      </c>
      <c r="G889" s="3">
        <v>1E-4</v>
      </c>
    </row>
    <row r="890" spans="1:7" ht="15" x14ac:dyDescent="0.25">
      <c r="A890">
        <v>10</v>
      </c>
      <c r="B890" t="s">
        <v>2683</v>
      </c>
      <c r="C890">
        <v>5</v>
      </c>
      <c r="D890" s="128">
        <v>2.8039251667760001E-2</v>
      </c>
      <c r="F890" s="3" t="s">
        <v>1037</v>
      </c>
      <c r="G890" s="3">
        <v>2.0000000000000001E-4</v>
      </c>
    </row>
    <row r="891" spans="1:7" ht="15" x14ac:dyDescent="0.25">
      <c r="A891">
        <v>10</v>
      </c>
      <c r="B891" t="s">
        <v>2683</v>
      </c>
      <c r="C891">
        <v>6</v>
      </c>
      <c r="D891" s="128">
        <v>3.6523339584119997E-2</v>
      </c>
      <c r="F891" s="3" t="s">
        <v>1038</v>
      </c>
      <c r="G891" s="3">
        <v>3.0747000000000001E-4</v>
      </c>
    </row>
    <row r="892" spans="1:7" ht="15" x14ac:dyDescent="0.25">
      <c r="A892">
        <v>10</v>
      </c>
      <c r="B892" t="s">
        <v>2683</v>
      </c>
      <c r="C892">
        <v>7</v>
      </c>
      <c r="D892" s="128">
        <v>4.5907540254610003E-2</v>
      </c>
      <c r="F892" s="3" t="s">
        <v>1039</v>
      </c>
      <c r="G892" s="3">
        <v>6.5450000000000003E-4</v>
      </c>
    </row>
    <row r="893" spans="1:7" ht="15" x14ac:dyDescent="0.25">
      <c r="A893">
        <v>10</v>
      </c>
      <c r="B893" t="s">
        <v>2683</v>
      </c>
      <c r="C893">
        <v>8</v>
      </c>
      <c r="D893" s="128">
        <v>5.6132675767529998E-2</v>
      </c>
      <c r="F893" s="3" t="s">
        <v>1040</v>
      </c>
      <c r="G893" s="3">
        <v>1.3188799999999999E-3</v>
      </c>
    </row>
    <row r="894" spans="1:7" ht="15" x14ac:dyDescent="0.25">
      <c r="A894">
        <v>10</v>
      </c>
      <c r="B894" t="s">
        <v>2683</v>
      </c>
      <c r="C894">
        <v>9</v>
      </c>
      <c r="D894" s="128">
        <v>6.7135607960270002E-2</v>
      </c>
      <c r="F894" s="3" t="s">
        <v>1041</v>
      </c>
      <c r="G894" s="3">
        <v>2.51534E-3</v>
      </c>
    </row>
    <row r="895" spans="1:7" ht="15" x14ac:dyDescent="0.25">
      <c r="A895">
        <v>10</v>
      </c>
      <c r="B895" t="s">
        <v>2683</v>
      </c>
      <c r="C895">
        <v>10</v>
      </c>
      <c r="D895" s="128">
        <v>7.8850825998690005E-2</v>
      </c>
      <c r="F895" s="3" t="s">
        <v>1042</v>
      </c>
      <c r="G895" s="3">
        <v>4.5389100000000002E-3</v>
      </c>
    </row>
    <row r="896" spans="1:7" ht="15" x14ac:dyDescent="0.25">
      <c r="A896">
        <v>10</v>
      </c>
      <c r="B896" t="s">
        <v>2683</v>
      </c>
      <c r="C896">
        <v>11</v>
      </c>
      <c r="D896" s="128">
        <v>9.1212422996940004E-2</v>
      </c>
      <c r="F896" s="3" t="s">
        <v>1043</v>
      </c>
      <c r="G896" s="3">
        <v>7.7466100000000001E-3</v>
      </c>
    </row>
    <row r="897" spans="1:7" ht="15" x14ac:dyDescent="0.25">
      <c r="A897">
        <v>10</v>
      </c>
      <c r="B897" t="s">
        <v>2683</v>
      </c>
      <c r="C897">
        <v>12</v>
      </c>
      <c r="D897" s="128">
        <v>0.10415495440418999</v>
      </c>
      <c r="F897" s="3" t="s">
        <v>1044</v>
      </c>
      <c r="G897" s="3">
        <v>1.250009E-2</v>
      </c>
    </row>
    <row r="898" spans="1:7" ht="15" x14ac:dyDescent="0.25">
      <c r="A898">
        <v>10</v>
      </c>
      <c r="B898" t="s">
        <v>2683</v>
      </c>
      <c r="C898">
        <v>13</v>
      </c>
      <c r="D898" s="128">
        <v>0.11761513220478</v>
      </c>
      <c r="F898" s="3" t="s">
        <v>1045</v>
      </c>
      <c r="G898" s="3">
        <v>1.9064649999999999E-2</v>
      </c>
    </row>
    <row r="899" spans="1:7" ht="15" x14ac:dyDescent="0.25">
      <c r="A899">
        <v>10</v>
      </c>
      <c r="B899" t="s">
        <v>2683</v>
      </c>
      <c r="C899">
        <v>14</v>
      </c>
      <c r="D899" s="128">
        <v>0.13153166713973</v>
      </c>
      <c r="F899" s="3" t="s">
        <v>1046</v>
      </c>
      <c r="G899" s="3">
        <v>2.7480460000000002E-2</v>
      </c>
    </row>
    <row r="900" spans="1:7" ht="15" x14ac:dyDescent="0.25">
      <c r="A900">
        <v>10</v>
      </c>
      <c r="B900" t="s">
        <v>2683</v>
      </c>
      <c r="C900">
        <v>15</v>
      </c>
      <c r="D900" s="128">
        <v>0.14584682538494001</v>
      </c>
      <c r="F900" s="3" t="s">
        <v>1047</v>
      </c>
      <c r="G900" s="3">
        <v>3.7446630000000002E-2</v>
      </c>
    </row>
    <row r="901" spans="1:7" ht="15" x14ac:dyDescent="0.25">
      <c r="A901">
        <v>10</v>
      </c>
      <c r="B901" t="s">
        <v>2683</v>
      </c>
      <c r="C901">
        <v>16</v>
      </c>
      <c r="D901" s="128">
        <v>0.16050599963128001</v>
      </c>
      <c r="F901" s="3" t="s">
        <v>1048</v>
      </c>
      <c r="G901" s="3">
        <v>4.8271250000000002E-2</v>
      </c>
    </row>
    <row r="902" spans="1:7" ht="15" x14ac:dyDescent="0.25">
      <c r="A902">
        <v>10</v>
      </c>
      <c r="B902" t="s">
        <v>2683</v>
      </c>
      <c r="C902">
        <v>17</v>
      </c>
      <c r="D902" s="128">
        <v>0.17545851644735999</v>
      </c>
      <c r="F902" s="3" t="s">
        <v>1049</v>
      </c>
      <c r="G902" s="3">
        <v>5.8926600000000003E-2</v>
      </c>
    </row>
    <row r="903" spans="1:7" ht="15" x14ac:dyDescent="0.25">
      <c r="A903">
        <v>10</v>
      </c>
      <c r="B903" t="s">
        <v>2683</v>
      </c>
      <c r="C903">
        <v>18</v>
      </c>
      <c r="D903" s="128">
        <v>0.19065743079367001</v>
      </c>
      <c r="F903" s="3" t="s">
        <v>1050</v>
      </c>
      <c r="G903" s="3">
        <v>6.8209329999999999E-2</v>
      </c>
    </row>
    <row r="904" spans="1:7" ht="15" x14ac:dyDescent="0.25">
      <c r="A904">
        <v>10</v>
      </c>
      <c r="B904" t="s">
        <v>2683</v>
      </c>
      <c r="C904">
        <v>19</v>
      </c>
      <c r="D904" s="128">
        <v>0.20605987281320001</v>
      </c>
      <c r="F904" s="3" t="s">
        <v>1051</v>
      </c>
      <c r="G904" s="3">
        <v>7.496303E-2</v>
      </c>
    </row>
    <row r="905" spans="1:7" ht="15" x14ac:dyDescent="0.25">
      <c r="A905">
        <v>10</v>
      </c>
      <c r="B905" t="s">
        <v>2683</v>
      </c>
      <c r="C905">
        <v>20</v>
      </c>
      <c r="D905" s="128">
        <v>0.22162639915688001</v>
      </c>
      <c r="F905" s="3" t="s">
        <v>1052</v>
      </c>
      <c r="G905" s="3">
        <v>8.3491750000000003E-2</v>
      </c>
    </row>
    <row r="906" spans="1:7" ht="15" x14ac:dyDescent="0.25">
      <c r="A906">
        <v>10</v>
      </c>
      <c r="B906" t="s">
        <v>2683</v>
      </c>
      <c r="C906">
        <v>21</v>
      </c>
      <c r="D906" s="128">
        <v>0.23732177890930001</v>
      </c>
      <c r="F906" s="3" t="s">
        <v>1053</v>
      </c>
      <c r="G906" s="3">
        <v>0.14282465</v>
      </c>
    </row>
    <row r="907" spans="1:7" ht="15" x14ac:dyDescent="0.25">
      <c r="A907">
        <v>10</v>
      </c>
      <c r="B907" t="s">
        <v>2683</v>
      </c>
      <c r="C907">
        <v>22</v>
      </c>
      <c r="D907" s="128">
        <v>0.25311408938847002</v>
      </c>
      <c r="F907" s="3" t="s">
        <v>1054</v>
      </c>
      <c r="G907" s="3">
        <v>0.16323687000000001</v>
      </c>
    </row>
    <row r="908" spans="1:7" ht="15" x14ac:dyDescent="0.25">
      <c r="A908">
        <v>10</v>
      </c>
      <c r="B908" t="s">
        <v>2683</v>
      </c>
      <c r="C908">
        <v>23</v>
      </c>
      <c r="D908" s="128">
        <v>0.26897455200247</v>
      </c>
      <c r="F908" s="3" t="s">
        <v>1055</v>
      </c>
      <c r="G908" s="3">
        <v>0.16323687000000001</v>
      </c>
    </row>
    <row r="909" spans="1:7" ht="15" x14ac:dyDescent="0.25">
      <c r="A909">
        <v>10</v>
      </c>
      <c r="B909" t="s">
        <v>2683</v>
      </c>
      <c r="C909">
        <v>24</v>
      </c>
      <c r="D909" s="128">
        <v>0.28487821274559</v>
      </c>
      <c r="F909" s="3" t="s">
        <v>1056</v>
      </c>
      <c r="G909" s="3">
        <v>0.16323687000000001</v>
      </c>
    </row>
    <row r="910" spans="1:7" ht="15" x14ac:dyDescent="0.25">
      <c r="A910">
        <v>10</v>
      </c>
      <c r="B910" t="s">
        <v>2683</v>
      </c>
      <c r="C910">
        <v>25</v>
      </c>
      <c r="D910" s="128">
        <v>0.30080267792006998</v>
      </c>
      <c r="F910" s="3" t="s">
        <v>1057</v>
      </c>
      <c r="G910" s="3">
        <v>0.16323687000000001</v>
      </c>
    </row>
    <row r="911" spans="1:7" ht="15" x14ac:dyDescent="0.25">
      <c r="A911">
        <v>10</v>
      </c>
      <c r="B911" t="s">
        <v>2683</v>
      </c>
      <c r="C911">
        <v>26</v>
      </c>
      <c r="D911" s="128">
        <v>0.31672797570326999</v>
      </c>
      <c r="F911" s="3" t="s">
        <v>1058</v>
      </c>
      <c r="G911" s="3">
        <v>0.16323687000000001</v>
      </c>
    </row>
    <row r="912" spans="1:7" ht="15" x14ac:dyDescent="0.25">
      <c r="A912">
        <v>10</v>
      </c>
      <c r="B912" t="s">
        <v>2683</v>
      </c>
      <c r="C912">
        <v>27</v>
      </c>
      <c r="D912" s="128">
        <v>0.33265316486278002</v>
      </c>
      <c r="F912" s="3" t="s">
        <v>1059</v>
      </c>
      <c r="G912" s="3">
        <v>0.18802849999999999</v>
      </c>
    </row>
    <row r="913" spans="1:7" ht="15" x14ac:dyDescent="0.25">
      <c r="A913">
        <v>10</v>
      </c>
      <c r="B913" t="s">
        <v>2683</v>
      </c>
      <c r="C913">
        <v>28</v>
      </c>
      <c r="D913" s="128">
        <v>0.34857851642085003</v>
      </c>
      <c r="F913" s="3" t="s">
        <v>1060</v>
      </c>
      <c r="G913" s="3">
        <v>0.18921973</v>
      </c>
    </row>
    <row r="914" spans="1:7" ht="15" x14ac:dyDescent="0.25">
      <c r="A914">
        <v>10</v>
      </c>
      <c r="B914" t="s">
        <v>2683</v>
      </c>
      <c r="C914">
        <v>29</v>
      </c>
      <c r="D914" s="128">
        <v>0.36450367029573999</v>
      </c>
      <c r="F914" s="3" t="s">
        <v>1061</v>
      </c>
      <c r="G914" s="3">
        <v>1.7799999999999999E-3</v>
      </c>
    </row>
    <row r="915" spans="1:7" ht="15" x14ac:dyDescent="0.25">
      <c r="A915">
        <v>10</v>
      </c>
      <c r="B915" t="s">
        <v>2683</v>
      </c>
      <c r="C915">
        <v>30</v>
      </c>
      <c r="D915" s="128">
        <v>0.38042894981691999</v>
      </c>
      <c r="F915" s="3" t="s">
        <v>1062</v>
      </c>
      <c r="G915" s="3">
        <v>5.3810000000000004E-3</v>
      </c>
    </row>
    <row r="916" spans="1:7" ht="15" x14ac:dyDescent="0.25">
      <c r="A916">
        <v>10</v>
      </c>
      <c r="B916" t="s">
        <v>2683</v>
      </c>
      <c r="C916">
        <v>31</v>
      </c>
      <c r="D916" s="128">
        <v>0.39635392243688</v>
      </c>
      <c r="F916" s="3" t="s">
        <v>1063</v>
      </c>
      <c r="G916" s="3">
        <v>5.8874999999999997E-2</v>
      </c>
    </row>
    <row r="917" spans="1:7" ht="15" x14ac:dyDescent="0.25">
      <c r="A917">
        <v>10</v>
      </c>
      <c r="B917" t="s">
        <v>2683</v>
      </c>
      <c r="C917">
        <v>32</v>
      </c>
      <c r="D917" s="128">
        <v>0.41227910050014999</v>
      </c>
      <c r="F917" s="3" t="s">
        <v>1064</v>
      </c>
      <c r="G917" s="3">
        <v>0.14851</v>
      </c>
    </row>
    <row r="918" spans="1:7" ht="15" x14ac:dyDescent="0.25">
      <c r="A918">
        <v>10</v>
      </c>
      <c r="B918" t="s">
        <v>2683</v>
      </c>
      <c r="C918">
        <v>33</v>
      </c>
      <c r="D918" s="128">
        <v>0.4282043704579</v>
      </c>
      <c r="F918" s="3" t="s">
        <v>1065</v>
      </c>
      <c r="G918" s="3">
        <v>0.45362000000000002</v>
      </c>
    </row>
    <row r="919" spans="1:7" ht="15" x14ac:dyDescent="0.25">
      <c r="A919">
        <v>10</v>
      </c>
      <c r="B919" t="s">
        <v>2683</v>
      </c>
      <c r="C919">
        <v>34</v>
      </c>
      <c r="D919" s="128">
        <v>0.44412943402256999</v>
      </c>
      <c r="F919" s="3" t="s">
        <v>1066</v>
      </c>
      <c r="G919" s="3">
        <v>1</v>
      </c>
    </row>
    <row r="920" spans="1:7" ht="15" x14ac:dyDescent="0.25">
      <c r="A920">
        <v>10</v>
      </c>
      <c r="B920" t="s">
        <v>2683</v>
      </c>
      <c r="C920">
        <v>35</v>
      </c>
      <c r="D920" s="128">
        <v>0.46005441899903998</v>
      </c>
      <c r="F920" s="3" t="s">
        <v>1067</v>
      </c>
      <c r="G920" s="3">
        <v>0.16114834</v>
      </c>
    </row>
    <row r="921" spans="1:7" ht="15" x14ac:dyDescent="0.25">
      <c r="A921">
        <v>10</v>
      </c>
      <c r="B921" t="s">
        <v>2683</v>
      </c>
      <c r="C921">
        <v>36</v>
      </c>
      <c r="D921" s="128">
        <v>0.47597930524819998</v>
      </c>
      <c r="F921" s="3" t="s">
        <v>1068</v>
      </c>
      <c r="G921" s="3">
        <v>1</v>
      </c>
    </row>
    <row r="922" spans="1:7" ht="15" x14ac:dyDescent="0.25">
      <c r="A922">
        <v>10</v>
      </c>
      <c r="B922" t="s">
        <v>2683</v>
      </c>
      <c r="C922">
        <v>37</v>
      </c>
      <c r="D922" s="128">
        <v>0.49190433821106</v>
      </c>
      <c r="F922" s="3" t="s">
        <v>1069</v>
      </c>
      <c r="G922" s="3">
        <v>1</v>
      </c>
    </row>
    <row r="923" spans="1:7" ht="15" x14ac:dyDescent="0.25">
      <c r="A923">
        <v>10</v>
      </c>
      <c r="B923" t="s">
        <v>2683</v>
      </c>
      <c r="C923">
        <v>38</v>
      </c>
      <c r="D923" s="128">
        <v>0.50782948304842002</v>
      </c>
      <c r="F923" s="3" t="s">
        <v>1070</v>
      </c>
      <c r="G923" s="3">
        <v>1</v>
      </c>
    </row>
    <row r="924" spans="1:7" ht="15" x14ac:dyDescent="0.25">
      <c r="A924">
        <v>10</v>
      </c>
      <c r="B924" t="s">
        <v>2683</v>
      </c>
      <c r="C924">
        <v>39</v>
      </c>
      <c r="D924" s="128">
        <v>0.52375455601836995</v>
      </c>
      <c r="F924" s="3" t="s">
        <v>1071</v>
      </c>
      <c r="G924" s="3">
        <v>1E-4</v>
      </c>
    </row>
    <row r="925" spans="1:7" ht="15" x14ac:dyDescent="0.25">
      <c r="A925">
        <v>10</v>
      </c>
      <c r="B925" t="s">
        <v>2683</v>
      </c>
      <c r="C925">
        <v>40</v>
      </c>
      <c r="D925" s="128">
        <v>0.53967941240998996</v>
      </c>
      <c r="F925" s="3" t="s">
        <v>1072</v>
      </c>
      <c r="G925" s="3">
        <v>2.0000000000000001E-4</v>
      </c>
    </row>
    <row r="926" spans="1:7" ht="15" x14ac:dyDescent="0.25">
      <c r="A926">
        <v>10</v>
      </c>
      <c r="B926" t="s">
        <v>2683</v>
      </c>
      <c r="C926">
        <v>41</v>
      </c>
      <c r="D926" s="128">
        <v>0.55574099248261</v>
      </c>
      <c r="F926" s="3" t="s">
        <v>1073</v>
      </c>
      <c r="G926" s="3">
        <v>3.0747000000000001E-4</v>
      </c>
    </row>
    <row r="927" spans="1:7" ht="15" x14ac:dyDescent="0.25">
      <c r="A927">
        <v>10</v>
      </c>
      <c r="B927" t="s">
        <v>2683</v>
      </c>
      <c r="C927">
        <v>42</v>
      </c>
      <c r="D927" s="128">
        <v>0.57194022951075996</v>
      </c>
      <c r="F927" s="3" t="s">
        <v>1074</v>
      </c>
      <c r="G927" s="3">
        <v>6.5450000000000003E-4</v>
      </c>
    </row>
    <row r="928" spans="1:7" ht="15" x14ac:dyDescent="0.25">
      <c r="A928">
        <v>10</v>
      </c>
      <c r="B928" t="s">
        <v>2683</v>
      </c>
      <c r="C928">
        <v>43</v>
      </c>
      <c r="D928" s="128">
        <v>0.58827806258913995</v>
      </c>
      <c r="F928" s="3" t="s">
        <v>1075</v>
      </c>
      <c r="G928" s="3">
        <v>1.3188799999999999E-3</v>
      </c>
    </row>
    <row r="929" spans="1:7" ht="15" x14ac:dyDescent="0.25">
      <c r="A929">
        <v>10</v>
      </c>
      <c r="B929" t="s">
        <v>2683</v>
      </c>
      <c r="C929">
        <v>44</v>
      </c>
      <c r="D929" s="128">
        <v>0.60475543666779996</v>
      </c>
      <c r="F929" s="3" t="s">
        <v>1076</v>
      </c>
      <c r="G929" s="3">
        <v>2.51534E-3</v>
      </c>
    </row>
    <row r="930" spans="1:7" ht="15" x14ac:dyDescent="0.25">
      <c r="A930">
        <v>10</v>
      </c>
      <c r="B930" t="s">
        <v>2683</v>
      </c>
      <c r="C930">
        <v>45</v>
      </c>
      <c r="D930" s="128">
        <v>0.62137330258743995</v>
      </c>
      <c r="F930" s="3" t="s">
        <v>1077</v>
      </c>
      <c r="G930" s="3">
        <v>4.5389100000000002E-3</v>
      </c>
    </row>
    <row r="931" spans="1:7" ht="15" x14ac:dyDescent="0.25">
      <c r="A931">
        <v>10</v>
      </c>
      <c r="B931" t="s">
        <v>2683</v>
      </c>
      <c r="C931">
        <v>46</v>
      </c>
      <c r="D931" s="128">
        <v>0.63813261711504998</v>
      </c>
      <c r="F931" s="3" t="s">
        <v>1078</v>
      </c>
      <c r="G931" s="3">
        <v>7.7466100000000001E-3</v>
      </c>
    </row>
    <row r="932" spans="1:7" ht="15" x14ac:dyDescent="0.25">
      <c r="A932">
        <v>10</v>
      </c>
      <c r="B932" t="s">
        <v>2683</v>
      </c>
      <c r="C932">
        <v>47</v>
      </c>
      <c r="D932" s="128">
        <v>0.65503434297963004</v>
      </c>
      <c r="F932" s="3" t="s">
        <v>1079</v>
      </c>
      <c r="G932" s="3">
        <v>1.250009E-2</v>
      </c>
    </row>
    <row r="933" spans="1:7" ht="15" x14ac:dyDescent="0.25">
      <c r="A933">
        <v>10</v>
      </c>
      <c r="B933" t="s">
        <v>2683</v>
      </c>
      <c r="C933">
        <v>48</v>
      </c>
      <c r="D933" s="128">
        <v>0.67207944890826998</v>
      </c>
      <c r="F933" s="3" t="s">
        <v>1080</v>
      </c>
      <c r="G933" s="3">
        <v>1.9064649999999999E-2</v>
      </c>
    </row>
    <row r="934" spans="1:7" ht="15" x14ac:dyDescent="0.25">
      <c r="A934">
        <v>10</v>
      </c>
      <c r="B934" t="s">
        <v>2683</v>
      </c>
      <c r="C934">
        <v>49</v>
      </c>
      <c r="D934" s="128">
        <v>0.68926890966231003</v>
      </c>
      <c r="F934" s="3" t="s">
        <v>1081</v>
      </c>
      <c r="G934" s="3">
        <v>2.7480460000000002E-2</v>
      </c>
    </row>
    <row r="935" spans="1:7" ht="15" x14ac:dyDescent="0.25">
      <c r="A935">
        <v>10</v>
      </c>
      <c r="B935" t="s">
        <v>2683</v>
      </c>
      <c r="C935">
        <v>50</v>
      </c>
      <c r="D935" s="128">
        <v>0.70660370607388001</v>
      </c>
      <c r="F935" s="3" t="s">
        <v>1082</v>
      </c>
      <c r="G935" s="3">
        <v>3.7446630000000002E-2</v>
      </c>
    </row>
    <row r="936" spans="1:7" ht="15" x14ac:dyDescent="0.25">
      <c r="F936" s="3" t="s">
        <v>1083</v>
      </c>
      <c r="G936" s="3">
        <v>4.8271250000000002E-2</v>
      </c>
    </row>
    <row r="937" spans="1:7" ht="15" x14ac:dyDescent="0.25">
      <c r="F937" s="3" t="s">
        <v>1084</v>
      </c>
      <c r="G937" s="3">
        <v>5.8926600000000003E-2</v>
      </c>
    </row>
    <row r="938" spans="1:7" ht="15" x14ac:dyDescent="0.25">
      <c r="F938" s="3" t="s">
        <v>1085</v>
      </c>
      <c r="G938" s="3">
        <v>6.8209329999999999E-2</v>
      </c>
    </row>
    <row r="939" spans="1:7" ht="15" x14ac:dyDescent="0.25">
      <c r="F939" s="3" t="s">
        <v>1086</v>
      </c>
      <c r="G939" s="3">
        <v>7.496303E-2</v>
      </c>
    </row>
    <row r="940" spans="1:7" ht="15" x14ac:dyDescent="0.25">
      <c r="F940" s="3" t="s">
        <v>1087</v>
      </c>
      <c r="G940" s="3">
        <v>8.3491750000000003E-2</v>
      </c>
    </row>
    <row r="941" spans="1:7" ht="15" x14ac:dyDescent="0.25">
      <c r="F941" s="3" t="s">
        <v>1088</v>
      </c>
      <c r="G941" s="3">
        <v>0.14282465</v>
      </c>
    </row>
    <row r="942" spans="1:7" ht="15" x14ac:dyDescent="0.25">
      <c r="F942" s="3" t="s">
        <v>1089</v>
      </c>
      <c r="G942" s="3">
        <v>0.16114834</v>
      </c>
    </row>
    <row r="943" spans="1:7" ht="15" x14ac:dyDescent="0.25">
      <c r="F943" s="3" t="s">
        <v>1090</v>
      </c>
      <c r="G943" s="3">
        <v>1</v>
      </c>
    </row>
    <row r="944" spans="1:7" ht="15" x14ac:dyDescent="0.25">
      <c r="F944" s="3" t="s">
        <v>1091</v>
      </c>
      <c r="G944" s="3">
        <v>1</v>
      </c>
    </row>
    <row r="945" spans="6:7" ht="15" x14ac:dyDescent="0.25">
      <c r="F945" s="3" t="s">
        <v>1092</v>
      </c>
      <c r="G945" s="3">
        <v>1</v>
      </c>
    </row>
    <row r="946" spans="6:7" ht="15" x14ac:dyDescent="0.25">
      <c r="F946" s="3" t="s">
        <v>1093</v>
      </c>
      <c r="G946" s="3">
        <v>1E-4</v>
      </c>
    </row>
    <row r="947" spans="6:7" ht="15" x14ac:dyDescent="0.25">
      <c r="F947" s="3" t="s">
        <v>1094</v>
      </c>
      <c r="G947" s="3">
        <v>2.0000000000000001E-4</v>
      </c>
    </row>
    <row r="948" spans="6:7" ht="15" x14ac:dyDescent="0.25">
      <c r="F948" s="3" t="s">
        <v>1095</v>
      </c>
      <c r="G948" s="3">
        <v>3.0747000000000001E-4</v>
      </c>
    </row>
    <row r="949" spans="6:7" ht="15" x14ac:dyDescent="0.25">
      <c r="F949" s="3" t="s">
        <v>1096</v>
      </c>
      <c r="G949" s="3">
        <v>6.5450000000000003E-4</v>
      </c>
    </row>
    <row r="950" spans="6:7" ht="15" x14ac:dyDescent="0.25">
      <c r="F950" s="3" t="s">
        <v>1097</v>
      </c>
      <c r="G950" s="3">
        <v>1.3188799999999999E-3</v>
      </c>
    </row>
    <row r="951" spans="6:7" ht="15" x14ac:dyDescent="0.25">
      <c r="F951" s="3" t="s">
        <v>1098</v>
      </c>
      <c r="G951" s="3">
        <v>2.51534E-3</v>
      </c>
    </row>
    <row r="952" spans="6:7" ht="15" x14ac:dyDescent="0.25">
      <c r="F952" s="3" t="s">
        <v>1099</v>
      </c>
      <c r="G952" s="3">
        <v>4.5389100000000002E-3</v>
      </c>
    </row>
    <row r="953" spans="6:7" ht="15" x14ac:dyDescent="0.25">
      <c r="F953" s="3" t="s">
        <v>1100</v>
      </c>
      <c r="G953" s="3">
        <v>7.7466100000000001E-3</v>
      </c>
    </row>
    <row r="954" spans="6:7" ht="15" x14ac:dyDescent="0.25">
      <c r="F954" s="3" t="s">
        <v>1101</v>
      </c>
      <c r="G954" s="3">
        <v>1.250009E-2</v>
      </c>
    </row>
    <row r="955" spans="6:7" ht="15" x14ac:dyDescent="0.25">
      <c r="F955" s="3" t="s">
        <v>1102</v>
      </c>
      <c r="G955" s="3">
        <v>1.9064649999999999E-2</v>
      </c>
    </row>
    <row r="956" spans="6:7" ht="15" x14ac:dyDescent="0.25">
      <c r="F956" s="3" t="s">
        <v>1103</v>
      </c>
      <c r="G956" s="3">
        <v>2.7480460000000002E-2</v>
      </c>
    </row>
    <row r="957" spans="6:7" ht="15" x14ac:dyDescent="0.25">
      <c r="F957" s="3" t="s">
        <v>1104</v>
      </c>
      <c r="G957" s="3">
        <v>3.7446630000000002E-2</v>
      </c>
    </row>
    <row r="958" spans="6:7" ht="15" x14ac:dyDescent="0.25">
      <c r="F958" s="3" t="s">
        <v>1105</v>
      </c>
      <c r="G958" s="3">
        <v>4.8271250000000002E-2</v>
      </c>
    </row>
    <row r="959" spans="6:7" ht="15" x14ac:dyDescent="0.25">
      <c r="F959" s="3" t="s">
        <v>1106</v>
      </c>
      <c r="G959" s="3">
        <v>5.8926600000000003E-2</v>
      </c>
    </row>
    <row r="960" spans="6:7" ht="15" x14ac:dyDescent="0.25">
      <c r="F960" s="3" t="s">
        <v>1107</v>
      </c>
      <c r="G960" s="3">
        <v>6.8209329999999999E-2</v>
      </c>
    </row>
    <row r="961" spans="6:7" ht="15" x14ac:dyDescent="0.25">
      <c r="F961" s="3" t="s">
        <v>1108</v>
      </c>
      <c r="G961" s="3">
        <v>7.496303E-2</v>
      </c>
    </row>
    <row r="962" spans="6:7" ht="15" x14ac:dyDescent="0.25">
      <c r="F962" s="3" t="s">
        <v>1109</v>
      </c>
      <c r="G962" s="3">
        <v>8.3491750000000003E-2</v>
      </c>
    </row>
    <row r="963" spans="6:7" ht="15" x14ac:dyDescent="0.25">
      <c r="F963" s="3" t="s">
        <v>1110</v>
      </c>
      <c r="G963" s="3">
        <v>0.14282465</v>
      </c>
    </row>
    <row r="964" spans="6:7" ht="15" x14ac:dyDescent="0.25">
      <c r="F964" s="3" t="s">
        <v>1111</v>
      </c>
      <c r="G964" s="3">
        <v>0.16114834</v>
      </c>
    </row>
    <row r="965" spans="6:7" ht="15" x14ac:dyDescent="0.25">
      <c r="F965" s="3" t="s">
        <v>1112</v>
      </c>
      <c r="G965" s="3">
        <v>1</v>
      </c>
    </row>
    <row r="966" spans="6:7" ht="15" x14ac:dyDescent="0.25">
      <c r="F966" s="3" t="s">
        <v>1113</v>
      </c>
      <c r="G966" s="3">
        <v>1</v>
      </c>
    </row>
    <row r="967" spans="6:7" ht="15" x14ac:dyDescent="0.25">
      <c r="F967" s="3" t="s">
        <v>1114</v>
      </c>
      <c r="G967" s="3">
        <v>1</v>
      </c>
    </row>
    <row r="968" spans="6:7" ht="15" x14ac:dyDescent="0.25">
      <c r="F968" s="3" t="s">
        <v>1115</v>
      </c>
      <c r="G968" s="3">
        <v>1E-4</v>
      </c>
    </row>
    <row r="969" spans="6:7" ht="15" x14ac:dyDescent="0.25">
      <c r="F969" s="3" t="s">
        <v>1116</v>
      </c>
      <c r="G969" s="3">
        <v>2.0000000000000001E-4</v>
      </c>
    </row>
    <row r="970" spans="6:7" ht="15" x14ac:dyDescent="0.25">
      <c r="F970" s="3" t="s">
        <v>1117</v>
      </c>
      <c r="G970" s="3">
        <v>3.0747000000000001E-4</v>
      </c>
    </row>
    <row r="971" spans="6:7" ht="15" x14ac:dyDescent="0.25">
      <c r="F971" s="3" t="s">
        <v>1118</v>
      </c>
      <c r="G971" s="3">
        <v>6.5450000000000003E-4</v>
      </c>
    </row>
    <row r="972" spans="6:7" ht="15" x14ac:dyDescent="0.25">
      <c r="F972" s="3" t="s">
        <v>1119</v>
      </c>
      <c r="G972" s="3">
        <v>1.3188799999999999E-3</v>
      </c>
    </row>
    <row r="973" spans="6:7" ht="15" x14ac:dyDescent="0.25">
      <c r="F973" s="3" t="s">
        <v>1120</v>
      </c>
      <c r="G973" s="3">
        <v>2.51534E-3</v>
      </c>
    </row>
    <row r="974" spans="6:7" ht="15" x14ac:dyDescent="0.25">
      <c r="F974" s="3" t="s">
        <v>1121</v>
      </c>
      <c r="G974" s="3">
        <v>0.18802849999999999</v>
      </c>
    </row>
    <row r="975" spans="6:7" ht="15" x14ac:dyDescent="0.25">
      <c r="F975" s="3" t="s">
        <v>1122</v>
      </c>
      <c r="G975" s="3">
        <v>4.5389100000000002E-3</v>
      </c>
    </row>
    <row r="976" spans="6:7" ht="15" x14ac:dyDescent="0.25">
      <c r="F976" s="3" t="s">
        <v>1123</v>
      </c>
      <c r="G976" s="3">
        <v>7.7466100000000001E-3</v>
      </c>
    </row>
    <row r="977" spans="6:7" ht="15" x14ac:dyDescent="0.25">
      <c r="F977" s="3" t="s">
        <v>1124</v>
      </c>
      <c r="G977" s="3">
        <v>1.250009E-2</v>
      </c>
    </row>
    <row r="978" spans="6:7" ht="15" x14ac:dyDescent="0.25">
      <c r="F978" s="3" t="s">
        <v>1125</v>
      </c>
      <c r="G978" s="3">
        <v>1.9064649999999999E-2</v>
      </c>
    </row>
    <row r="979" spans="6:7" ht="15" x14ac:dyDescent="0.25">
      <c r="F979" s="3" t="s">
        <v>1126</v>
      </c>
      <c r="G979" s="3">
        <v>2.7480460000000002E-2</v>
      </c>
    </row>
    <row r="980" spans="6:7" ht="15" x14ac:dyDescent="0.25">
      <c r="F980" s="3" t="s">
        <v>1127</v>
      </c>
      <c r="G980" s="3">
        <v>3.7446630000000002E-2</v>
      </c>
    </row>
    <row r="981" spans="6:7" ht="15" x14ac:dyDescent="0.25">
      <c r="F981" s="3" t="s">
        <v>1128</v>
      </c>
      <c r="G981" s="3">
        <v>4.8271250000000002E-2</v>
      </c>
    </row>
    <row r="982" spans="6:7" ht="15" x14ac:dyDescent="0.25">
      <c r="F982" s="3" t="s">
        <v>1129</v>
      </c>
      <c r="G982" s="3">
        <v>5.8926600000000003E-2</v>
      </c>
    </row>
    <row r="983" spans="6:7" ht="15" x14ac:dyDescent="0.25">
      <c r="F983" s="3" t="s">
        <v>1130</v>
      </c>
      <c r="G983" s="3">
        <v>6.8209329999999999E-2</v>
      </c>
    </row>
    <row r="984" spans="6:7" ht="15" x14ac:dyDescent="0.25">
      <c r="F984" s="3" t="s">
        <v>1131</v>
      </c>
      <c r="G984" s="3">
        <v>7.496303E-2</v>
      </c>
    </row>
    <row r="985" spans="6:7" ht="15" x14ac:dyDescent="0.25">
      <c r="F985" s="3" t="s">
        <v>1132</v>
      </c>
      <c r="G985" s="3">
        <v>8.3491750000000003E-2</v>
      </c>
    </row>
    <row r="986" spans="6:7" ht="15" x14ac:dyDescent="0.25">
      <c r="F986" s="3" t="s">
        <v>1133</v>
      </c>
      <c r="G986" s="3">
        <v>0.14282465</v>
      </c>
    </row>
    <row r="987" spans="6:7" ht="15" x14ac:dyDescent="0.25">
      <c r="F987" s="3" t="s">
        <v>1134</v>
      </c>
      <c r="G987" s="3">
        <v>0.16114834</v>
      </c>
    </row>
    <row r="988" spans="6:7" ht="15" x14ac:dyDescent="0.25">
      <c r="F988" s="3" t="s">
        <v>1135</v>
      </c>
      <c r="G988" s="3">
        <v>1</v>
      </c>
    </row>
    <row r="989" spans="6:7" ht="15" x14ac:dyDescent="0.25">
      <c r="F989" s="3" t="s">
        <v>1136</v>
      </c>
      <c r="G989" s="3">
        <v>1</v>
      </c>
    </row>
    <row r="990" spans="6:7" ht="15" x14ac:dyDescent="0.25">
      <c r="F990" s="3" t="s">
        <v>1137</v>
      </c>
      <c r="G990" s="3">
        <v>1</v>
      </c>
    </row>
    <row r="991" spans="6:7" ht="15" x14ac:dyDescent="0.25">
      <c r="F991" s="3" t="s">
        <v>1138</v>
      </c>
      <c r="G991" s="3">
        <v>1E-4</v>
      </c>
    </row>
    <row r="992" spans="6:7" ht="15" x14ac:dyDescent="0.25">
      <c r="F992" s="3" t="s">
        <v>1139</v>
      </c>
      <c r="G992" s="3">
        <v>2.0000000000000001E-4</v>
      </c>
    </row>
    <row r="993" spans="6:7" ht="15" x14ac:dyDescent="0.25">
      <c r="F993" s="3" t="s">
        <v>1140</v>
      </c>
      <c r="G993" s="3">
        <v>3.0747000000000001E-4</v>
      </c>
    </row>
    <row r="994" spans="6:7" ht="15" x14ac:dyDescent="0.25">
      <c r="F994" s="3" t="s">
        <v>1141</v>
      </c>
      <c r="G994" s="3">
        <v>6.5450000000000003E-4</v>
      </c>
    </row>
    <row r="995" spans="6:7" ht="15" x14ac:dyDescent="0.25">
      <c r="F995" s="3" t="s">
        <v>1142</v>
      </c>
      <c r="G995" s="3">
        <v>1.3188799999999999E-3</v>
      </c>
    </row>
    <row r="996" spans="6:7" ht="15" x14ac:dyDescent="0.25">
      <c r="F996" s="3" t="s">
        <v>1143</v>
      </c>
      <c r="G996" s="3">
        <v>2.51534E-3</v>
      </c>
    </row>
    <row r="997" spans="6:7" ht="15" x14ac:dyDescent="0.25">
      <c r="F997" s="3" t="s">
        <v>1144</v>
      </c>
      <c r="G997" s="3">
        <v>4.5389100000000002E-3</v>
      </c>
    </row>
    <row r="998" spans="6:7" ht="15" x14ac:dyDescent="0.25">
      <c r="F998" s="3" t="s">
        <v>1145</v>
      </c>
      <c r="G998" s="3">
        <v>7.7466100000000001E-3</v>
      </c>
    </row>
    <row r="999" spans="6:7" ht="15" x14ac:dyDescent="0.25">
      <c r="F999" s="3" t="s">
        <v>1146</v>
      </c>
      <c r="G999" s="3">
        <v>1.250009E-2</v>
      </c>
    </row>
    <row r="1000" spans="6:7" ht="15" x14ac:dyDescent="0.25">
      <c r="F1000" s="3" t="s">
        <v>1147</v>
      </c>
      <c r="G1000" s="3">
        <v>1.9064649999999999E-2</v>
      </c>
    </row>
    <row r="1001" spans="6:7" ht="15" x14ac:dyDescent="0.25">
      <c r="F1001" s="3" t="s">
        <v>1148</v>
      </c>
      <c r="G1001" s="3">
        <v>2.7480460000000002E-2</v>
      </c>
    </row>
    <row r="1002" spans="6:7" ht="15" x14ac:dyDescent="0.25">
      <c r="F1002" s="3" t="s">
        <v>1149</v>
      </c>
      <c r="G1002" s="3">
        <v>3.7446630000000002E-2</v>
      </c>
    </row>
    <row r="1003" spans="6:7" ht="15" x14ac:dyDescent="0.25">
      <c r="F1003" s="3" t="s">
        <v>1150</v>
      </c>
      <c r="G1003" s="3">
        <v>4.8271250000000002E-2</v>
      </c>
    </row>
    <row r="1004" spans="6:7" ht="15" x14ac:dyDescent="0.25">
      <c r="F1004" s="3" t="s">
        <v>1151</v>
      </c>
      <c r="G1004" s="3">
        <v>3.07018E-3</v>
      </c>
    </row>
    <row r="1005" spans="6:7" ht="15" x14ac:dyDescent="0.25">
      <c r="F1005" s="3" t="s">
        <v>1152</v>
      </c>
      <c r="G1005" s="3">
        <v>1.6567400000000001E-3</v>
      </c>
    </row>
    <row r="1006" spans="6:7" ht="15" x14ac:dyDescent="0.25">
      <c r="F1006" s="3" t="s">
        <v>1153</v>
      </c>
      <c r="G1006" s="3">
        <v>4.9349800000000003E-3</v>
      </c>
    </row>
    <row r="1007" spans="6:7" ht="15" x14ac:dyDescent="0.25">
      <c r="F1007" s="3" t="s">
        <v>1154</v>
      </c>
      <c r="G1007" s="3">
        <v>6.6976099999999997E-3</v>
      </c>
    </row>
    <row r="1008" spans="6:7" ht="15" x14ac:dyDescent="0.25">
      <c r="F1008" s="3" t="s">
        <v>1155</v>
      </c>
      <c r="G1008" s="3">
        <v>0.40650709000000002</v>
      </c>
    </row>
    <row r="1009" spans="6:7" ht="15" x14ac:dyDescent="0.25">
      <c r="F1009" s="3" t="s">
        <v>1156</v>
      </c>
      <c r="G1009" s="3">
        <v>0.61035446999999998</v>
      </c>
    </row>
    <row r="1010" spans="6:7" ht="15" x14ac:dyDescent="0.25">
      <c r="F1010" s="3" t="s">
        <v>1157</v>
      </c>
      <c r="G1010" s="3">
        <v>1</v>
      </c>
    </row>
    <row r="1011" spans="6:7" ht="15" x14ac:dyDescent="0.25">
      <c r="F1011" s="3" t="s">
        <v>1158</v>
      </c>
      <c r="G1011" s="3">
        <v>0.1827</v>
      </c>
    </row>
    <row r="1012" spans="6:7" ht="15" x14ac:dyDescent="0.25">
      <c r="F1012" s="3" t="s">
        <v>1159</v>
      </c>
      <c r="G1012" s="3">
        <v>0.1827</v>
      </c>
    </row>
    <row r="1013" spans="6:7" ht="15" x14ac:dyDescent="0.25">
      <c r="F1013" s="3" t="s">
        <v>1160</v>
      </c>
      <c r="G1013" s="3">
        <v>0.16323687000000001</v>
      </c>
    </row>
    <row r="1014" spans="6:7" ht="15" x14ac:dyDescent="0.25">
      <c r="F1014" s="3" t="s">
        <v>1161</v>
      </c>
      <c r="G1014" s="3">
        <v>1.03E-4</v>
      </c>
    </row>
    <row r="1015" spans="6:7" ht="15" x14ac:dyDescent="0.25">
      <c r="F1015" s="3" t="s">
        <v>1162</v>
      </c>
      <c r="G1015" s="3">
        <v>2.0599999999999999E-4</v>
      </c>
    </row>
    <row r="1016" spans="6:7" ht="15" x14ac:dyDescent="0.25">
      <c r="F1016" s="3" t="s">
        <v>1163</v>
      </c>
      <c r="G1016" s="3">
        <v>3.0899999999999998E-4</v>
      </c>
    </row>
    <row r="1017" spans="6:7" ht="15" x14ac:dyDescent="0.25">
      <c r="F1017" s="3" t="s">
        <v>1164</v>
      </c>
      <c r="G1017" s="3">
        <v>4.1199999999999999E-4</v>
      </c>
    </row>
    <row r="1018" spans="6:7" ht="15" x14ac:dyDescent="0.25">
      <c r="F1018" s="3" t="s">
        <v>1165</v>
      </c>
      <c r="G1018" s="3">
        <v>5.1500000000000005E-4</v>
      </c>
    </row>
    <row r="1019" spans="6:7" ht="15" x14ac:dyDescent="0.25">
      <c r="F1019" s="3" t="s">
        <v>1166</v>
      </c>
      <c r="G1019" s="3">
        <v>6.2074999999999999E-4</v>
      </c>
    </row>
    <row r="1020" spans="6:7" ht="15" x14ac:dyDescent="0.25">
      <c r="F1020" s="3" t="s">
        <v>1167</v>
      </c>
      <c r="G1020" s="3">
        <v>9.1759000000000003E-4</v>
      </c>
    </row>
    <row r="1021" spans="6:7" ht="15" x14ac:dyDescent="0.25">
      <c r="F1021" s="3" t="s">
        <v>1168</v>
      </c>
      <c r="G1021" s="3">
        <v>1.3948400000000001E-3</v>
      </c>
    </row>
    <row r="1022" spans="6:7" ht="15" x14ac:dyDescent="0.25">
      <c r="F1022" s="3" t="s">
        <v>1169</v>
      </c>
      <c r="G1022" s="3">
        <v>2.1246300000000002E-3</v>
      </c>
    </row>
    <row r="1023" spans="6:7" ht="15" x14ac:dyDescent="0.25">
      <c r="F1023" s="3" t="s">
        <v>1170</v>
      </c>
      <c r="G1023" s="3">
        <v>3.07018E-3</v>
      </c>
    </row>
    <row r="1024" spans="6:7" ht="15" x14ac:dyDescent="0.25">
      <c r="F1024" s="3" t="s">
        <v>1171</v>
      </c>
      <c r="G1024" s="3">
        <v>4.4445400000000003E-3</v>
      </c>
    </row>
    <row r="1025" spans="6:7" ht="15" x14ac:dyDescent="0.25">
      <c r="F1025" s="3" t="s">
        <v>1172</v>
      </c>
      <c r="G1025" s="3">
        <v>7.5560000000000002E-3</v>
      </c>
    </row>
    <row r="1026" spans="6:7" ht="15" x14ac:dyDescent="0.25">
      <c r="F1026" s="3" t="s">
        <v>1173</v>
      </c>
      <c r="G1026" s="3">
        <v>1.3210009999999999E-2</v>
      </c>
    </row>
    <row r="1027" spans="6:7" ht="15" x14ac:dyDescent="0.25">
      <c r="F1027" s="3" t="s">
        <v>1174</v>
      </c>
      <c r="G1027" s="3">
        <v>2.3749880000000001E-2</v>
      </c>
    </row>
    <row r="1028" spans="6:7" ht="15" x14ac:dyDescent="0.25">
      <c r="F1028" s="3" t="s">
        <v>1175</v>
      </c>
      <c r="G1028" s="3">
        <v>4.3910339999999999E-2</v>
      </c>
    </row>
    <row r="1029" spans="6:7" ht="15" x14ac:dyDescent="0.25">
      <c r="F1029" s="3" t="s">
        <v>1176</v>
      </c>
      <c r="G1029" s="3">
        <v>8.3487039999999998E-2</v>
      </c>
    </row>
    <row r="1030" spans="6:7" ht="15" x14ac:dyDescent="0.25">
      <c r="F1030" s="3" t="s">
        <v>1177</v>
      </c>
      <c r="G1030" s="3">
        <v>0.16323687000000001</v>
      </c>
    </row>
    <row r="1031" spans="6:7" ht="15" x14ac:dyDescent="0.25">
      <c r="F1031" s="3" t="s">
        <v>1178</v>
      </c>
      <c r="G1031" s="3">
        <v>0.25</v>
      </c>
    </row>
    <row r="1032" spans="6:7" ht="15" x14ac:dyDescent="0.25">
      <c r="F1032" s="3" t="s">
        <v>1179</v>
      </c>
      <c r="G1032" s="3">
        <v>0.35</v>
      </c>
    </row>
    <row r="1033" spans="6:7" ht="15" x14ac:dyDescent="0.25">
      <c r="F1033" s="3" t="s">
        <v>1180</v>
      </c>
      <c r="G1033" s="3">
        <v>1</v>
      </c>
    </row>
    <row r="1034" spans="6:7" ht="15" x14ac:dyDescent="0.25">
      <c r="F1034" s="3" t="s">
        <v>1181</v>
      </c>
      <c r="G1034" s="3">
        <v>1</v>
      </c>
    </row>
    <row r="1035" spans="6:7" ht="15" x14ac:dyDescent="0.25">
      <c r="F1035" s="3" t="s">
        <v>1182</v>
      </c>
      <c r="G1035" s="3">
        <v>1</v>
      </c>
    </row>
    <row r="1036" spans="6:7" ht="15" x14ac:dyDescent="0.25">
      <c r="F1036" s="3" t="s">
        <v>1183</v>
      </c>
      <c r="G1036" s="3">
        <v>1.03E-4</v>
      </c>
    </row>
    <row r="1037" spans="6:7" ht="15" x14ac:dyDescent="0.25">
      <c r="F1037" s="3" t="s">
        <v>1184</v>
      </c>
      <c r="G1037" s="3">
        <v>2.0599999999999999E-4</v>
      </c>
    </row>
    <row r="1038" spans="6:7" ht="15" x14ac:dyDescent="0.25">
      <c r="F1038" s="3" t="s">
        <v>1185</v>
      </c>
      <c r="G1038" s="3">
        <v>3.0899999999999998E-4</v>
      </c>
    </row>
    <row r="1039" spans="6:7" ht="15" x14ac:dyDescent="0.25">
      <c r="F1039" s="3" t="s">
        <v>1186</v>
      </c>
      <c r="G1039" s="3">
        <v>4.1199999999999999E-4</v>
      </c>
    </row>
    <row r="1040" spans="6:7" ht="15" x14ac:dyDescent="0.25">
      <c r="F1040" s="3" t="s">
        <v>1187</v>
      </c>
      <c r="G1040" s="3">
        <v>0.14282465</v>
      </c>
    </row>
    <row r="1041" spans="6:7" ht="15" x14ac:dyDescent="0.25">
      <c r="F1041" s="3" t="s">
        <v>1188</v>
      </c>
      <c r="G1041" s="3">
        <v>0.16114834</v>
      </c>
    </row>
    <row r="1042" spans="6:7" ht="15" x14ac:dyDescent="0.25">
      <c r="F1042" s="3" t="s">
        <v>1189</v>
      </c>
      <c r="G1042" s="3">
        <v>1</v>
      </c>
    </row>
    <row r="1043" spans="6:7" ht="15" x14ac:dyDescent="0.25">
      <c r="F1043" s="3" t="s">
        <v>1190</v>
      </c>
      <c r="G1043" s="3">
        <v>1</v>
      </c>
    </row>
    <row r="1044" spans="6:7" ht="15" x14ac:dyDescent="0.25">
      <c r="F1044" s="3" t="s">
        <v>1191</v>
      </c>
      <c r="G1044" s="3">
        <v>1</v>
      </c>
    </row>
    <row r="1045" spans="6:7" ht="15" x14ac:dyDescent="0.25">
      <c r="F1045" s="3" t="s">
        <v>1192</v>
      </c>
      <c r="G1045" s="3">
        <v>0.35</v>
      </c>
    </row>
    <row r="1046" spans="6:7" ht="15" x14ac:dyDescent="0.25">
      <c r="F1046" s="3" t="s">
        <v>1193</v>
      </c>
      <c r="G1046" s="3">
        <v>1</v>
      </c>
    </row>
    <row r="1047" spans="6:7" ht="15" x14ac:dyDescent="0.25">
      <c r="F1047" s="3" t="s">
        <v>1194</v>
      </c>
      <c r="G1047" s="3">
        <v>1</v>
      </c>
    </row>
    <row r="1048" spans="6:7" ht="15" x14ac:dyDescent="0.25">
      <c r="F1048" s="3" t="s">
        <v>1195</v>
      </c>
      <c r="G1048" s="3">
        <v>1</v>
      </c>
    </row>
    <row r="1049" spans="6:7" ht="15" x14ac:dyDescent="0.25">
      <c r="F1049" s="3" t="s">
        <v>1196</v>
      </c>
      <c r="G1049" s="3">
        <v>1.3210009999999999E-2</v>
      </c>
    </row>
    <row r="1050" spans="6:7" ht="15" x14ac:dyDescent="0.25">
      <c r="F1050" s="3" t="s">
        <v>1197</v>
      </c>
      <c r="G1050" s="3">
        <v>8.3487039999999998E-2</v>
      </c>
    </row>
    <row r="1051" spans="6:7" ht="15" x14ac:dyDescent="0.25">
      <c r="F1051" s="3" t="s">
        <v>1198</v>
      </c>
      <c r="G1051" s="3">
        <v>0.16323687000000001</v>
      </c>
    </row>
    <row r="1052" spans="6:7" ht="15" x14ac:dyDescent="0.25">
      <c r="F1052" s="3" t="s">
        <v>1199</v>
      </c>
      <c r="G1052" s="3">
        <v>1.6258900000000001E-3</v>
      </c>
    </row>
    <row r="1053" spans="6:7" ht="15" x14ac:dyDescent="0.25">
      <c r="F1053" s="3" t="s">
        <v>1200</v>
      </c>
      <c r="G1053" s="3">
        <v>2.1246300000000002E-3</v>
      </c>
    </row>
    <row r="1054" spans="6:7" ht="15" x14ac:dyDescent="0.25">
      <c r="F1054" s="3" t="s">
        <v>1201</v>
      </c>
      <c r="G1054" s="3">
        <v>3.07018E-3</v>
      </c>
    </row>
    <row r="1055" spans="6:7" ht="15" x14ac:dyDescent="0.25">
      <c r="F1055" s="3" t="s">
        <v>1202</v>
      </c>
      <c r="G1055" s="3">
        <v>3.8111400000000002E-3</v>
      </c>
    </row>
    <row r="1056" spans="6:7" ht="15" x14ac:dyDescent="0.25">
      <c r="F1056" s="3" t="s">
        <v>1203</v>
      </c>
      <c r="G1056" s="3">
        <v>7.1032600000000001E-3</v>
      </c>
    </row>
    <row r="1057" spans="6:7" ht="15" x14ac:dyDescent="0.25">
      <c r="F1057" s="3" t="s">
        <v>1204</v>
      </c>
      <c r="G1057" s="3">
        <v>9.1759000000000003E-4</v>
      </c>
    </row>
    <row r="1058" spans="6:7" ht="15" x14ac:dyDescent="0.25">
      <c r="F1058" s="3" t="s">
        <v>1205</v>
      </c>
      <c r="G1058" s="3">
        <v>4.3910339999999999E-2</v>
      </c>
    </row>
    <row r="1059" spans="6:7" ht="15" x14ac:dyDescent="0.25">
      <c r="F1059" s="3" t="s">
        <v>1206</v>
      </c>
      <c r="G1059" s="3">
        <v>3.0697640000000002E-2</v>
      </c>
    </row>
    <row r="1060" spans="6:7" ht="15" x14ac:dyDescent="0.25">
      <c r="F1060" s="3" t="s">
        <v>1207</v>
      </c>
      <c r="G1060" s="3">
        <v>0.23</v>
      </c>
    </row>
    <row r="1061" spans="6:7" ht="15" x14ac:dyDescent="0.25">
      <c r="F1061" s="3" t="s">
        <v>1208</v>
      </c>
      <c r="G1061" s="3">
        <v>0.3</v>
      </c>
    </row>
    <row r="1062" spans="6:7" ht="15" x14ac:dyDescent="0.25">
      <c r="F1062" s="3" t="s">
        <v>1209</v>
      </c>
      <c r="G1062" s="3">
        <v>1</v>
      </c>
    </row>
    <row r="1063" spans="6:7" ht="15" x14ac:dyDescent="0.25">
      <c r="F1063" s="3" t="s">
        <v>1210</v>
      </c>
      <c r="G1063" s="3">
        <v>1</v>
      </c>
    </row>
    <row r="1064" spans="6:7" ht="15" x14ac:dyDescent="0.25">
      <c r="F1064" s="3" t="s">
        <v>1211</v>
      </c>
      <c r="G1064" s="3">
        <v>1</v>
      </c>
    </row>
    <row r="1065" spans="6:7" ht="15" x14ac:dyDescent="0.25">
      <c r="F1065" s="3" t="s">
        <v>1212</v>
      </c>
      <c r="G1065" s="3">
        <v>1.297947E-2</v>
      </c>
    </row>
    <row r="1066" spans="6:7" ht="15" x14ac:dyDescent="0.25">
      <c r="F1066" s="3" t="s">
        <v>1213</v>
      </c>
      <c r="G1066" s="3">
        <v>7.2533319999999998E-2</v>
      </c>
    </row>
    <row r="1067" spans="6:7" ht="15" x14ac:dyDescent="0.25">
      <c r="F1067" s="3" t="s">
        <v>1214</v>
      </c>
      <c r="G1067" s="3">
        <v>0.16323687000000001</v>
      </c>
    </row>
    <row r="1068" spans="6:7" ht="15" x14ac:dyDescent="0.25">
      <c r="F1068" s="3" t="s">
        <v>1215</v>
      </c>
      <c r="G1068" s="3">
        <v>6.6699999999999995E-4</v>
      </c>
    </row>
    <row r="1069" spans="6:7" ht="15" x14ac:dyDescent="0.25">
      <c r="F1069" s="3" t="s">
        <v>1216</v>
      </c>
      <c r="G1069" s="3">
        <v>1.0549999999999999E-3</v>
      </c>
    </row>
    <row r="1070" spans="6:7" ht="15" x14ac:dyDescent="0.25">
      <c r="F1070" s="3" t="s">
        <v>1217</v>
      </c>
      <c r="G1070" s="3">
        <v>1.325E-3</v>
      </c>
    </row>
    <row r="1071" spans="6:7" ht="15" x14ac:dyDescent="0.25">
      <c r="F1071" s="3" t="s">
        <v>1218</v>
      </c>
      <c r="G1071" s="3">
        <v>2.1389999999999998E-3</v>
      </c>
    </row>
    <row r="1072" spans="6:7" ht="15" x14ac:dyDescent="0.25">
      <c r="F1072" s="3" t="s">
        <v>1219</v>
      </c>
      <c r="G1072" s="3">
        <v>2.8500000000000001E-3</v>
      </c>
    </row>
    <row r="1073" spans="6:7" ht="15" x14ac:dyDescent="0.25">
      <c r="F1073" s="3" t="s">
        <v>1220</v>
      </c>
      <c r="G1073" s="3">
        <v>4.4489999999999998E-3</v>
      </c>
    </row>
    <row r="1074" spans="6:7" ht="15" x14ac:dyDescent="0.25">
      <c r="F1074" s="3" t="s">
        <v>1221</v>
      </c>
      <c r="G1074" s="3">
        <v>8.0440000000000008E-3</v>
      </c>
    </row>
    <row r="1075" spans="6:7" ht="15" x14ac:dyDescent="0.25">
      <c r="F1075" s="3" t="s">
        <v>1222</v>
      </c>
      <c r="G1075" s="3">
        <v>1.4002000000000001E-2</v>
      </c>
    </row>
    <row r="1076" spans="6:7" ht="15" x14ac:dyDescent="0.25">
      <c r="F1076" s="3" t="s">
        <v>1223</v>
      </c>
      <c r="G1076" s="3">
        <v>2.4854999999999999E-2</v>
      </c>
    </row>
    <row r="1077" spans="6:7" ht="15" x14ac:dyDescent="0.25">
      <c r="F1077" s="3" t="s">
        <v>1224</v>
      </c>
      <c r="G1077" s="3">
        <v>4.4387000000000003E-2</v>
      </c>
    </row>
    <row r="1078" spans="6:7" ht="15" x14ac:dyDescent="0.25">
      <c r="F1078" s="3" t="s">
        <v>1225</v>
      </c>
      <c r="G1078" s="3">
        <v>8.4750000000000006E-2</v>
      </c>
    </row>
    <row r="1079" spans="6:7" ht="15" x14ac:dyDescent="0.25">
      <c r="F1079" s="3" t="s">
        <v>1226</v>
      </c>
      <c r="G1079" s="3">
        <v>0.15115999999999999</v>
      </c>
    </row>
    <row r="1080" spans="6:7" ht="15" x14ac:dyDescent="0.25">
      <c r="F1080" s="3" t="s">
        <v>1227</v>
      </c>
      <c r="G1080" s="3">
        <v>0.23858699999999999</v>
      </c>
    </row>
    <row r="1081" spans="6:7" ht="15" x14ac:dyDescent="0.25">
      <c r="F1081" s="3" t="s">
        <v>1228</v>
      </c>
      <c r="G1081" s="3">
        <v>0.46440999999999999</v>
      </c>
    </row>
    <row r="1082" spans="6:7" ht="15" x14ac:dyDescent="0.25">
      <c r="F1082" s="3" t="s">
        <v>1229</v>
      </c>
      <c r="G1082" s="3">
        <v>1</v>
      </c>
    </row>
    <row r="1083" spans="6:7" ht="15" x14ac:dyDescent="0.25">
      <c r="F1083" s="3" t="s">
        <v>1230</v>
      </c>
      <c r="G1083" s="3">
        <v>1</v>
      </c>
    </row>
    <row r="1084" spans="6:7" ht="15" x14ac:dyDescent="0.25">
      <c r="F1084" s="3" t="s">
        <v>1231</v>
      </c>
      <c r="G1084" s="3">
        <v>1</v>
      </c>
    </row>
    <row r="1085" spans="6:7" ht="15" x14ac:dyDescent="0.25">
      <c r="F1085" s="3" t="s">
        <v>1232</v>
      </c>
      <c r="G1085" s="3">
        <v>0.25</v>
      </c>
    </row>
    <row r="1086" spans="6:7" ht="15" x14ac:dyDescent="0.25">
      <c r="F1086" s="3" t="s">
        <v>1233</v>
      </c>
      <c r="G1086" s="3">
        <v>0.35</v>
      </c>
    </row>
    <row r="1087" spans="6:7" ht="15" x14ac:dyDescent="0.25">
      <c r="F1087" s="3" t="s">
        <v>1234</v>
      </c>
      <c r="G1087" s="3">
        <v>1</v>
      </c>
    </row>
    <row r="1088" spans="6:7" ht="15" x14ac:dyDescent="0.25">
      <c r="F1088" s="3" t="s">
        <v>1235</v>
      </c>
      <c r="G1088" s="3">
        <v>1</v>
      </c>
    </row>
    <row r="1089" spans="6:7" ht="15" x14ac:dyDescent="0.25">
      <c r="F1089" s="3" t="s">
        <v>1236</v>
      </c>
      <c r="G1089" s="3">
        <v>1</v>
      </c>
    </row>
    <row r="1090" spans="6:7" ht="15" x14ac:dyDescent="0.25">
      <c r="F1090" s="3" t="s">
        <v>1237</v>
      </c>
      <c r="G1090" s="3">
        <v>6.2100000000000002E-4</v>
      </c>
    </row>
    <row r="1091" spans="6:7" ht="15" x14ac:dyDescent="0.25">
      <c r="F1091" s="3" t="s">
        <v>1238</v>
      </c>
      <c r="G1091" s="3">
        <v>9.1799999999999998E-4</v>
      </c>
    </row>
    <row r="1092" spans="6:7" ht="15" x14ac:dyDescent="0.25">
      <c r="F1092" s="3" t="s">
        <v>1239</v>
      </c>
      <c r="G1092" s="3">
        <v>1.395E-3</v>
      </c>
    </row>
    <row r="1093" spans="6:7" ht="15" x14ac:dyDescent="0.25">
      <c r="F1093" s="3" t="s">
        <v>1240</v>
      </c>
      <c r="G1093" s="3">
        <v>2.1250000000000002E-3</v>
      </c>
    </row>
    <row r="1094" spans="6:7" ht="15" x14ac:dyDescent="0.25">
      <c r="F1094" s="3" t="s">
        <v>1241</v>
      </c>
      <c r="G1094" s="3">
        <v>2.8800000000000002E-3</v>
      </c>
    </row>
    <row r="1095" spans="6:7" ht="15" x14ac:dyDescent="0.25">
      <c r="F1095" s="3" t="s">
        <v>1242</v>
      </c>
      <c r="G1095" s="3">
        <v>4.3899999999999998E-3</v>
      </c>
    </row>
    <row r="1096" spans="6:7" ht="15" x14ac:dyDescent="0.25">
      <c r="F1096" s="3" t="s">
        <v>1243</v>
      </c>
      <c r="G1096" s="3">
        <v>7.6299999999999996E-3</v>
      </c>
    </row>
    <row r="1097" spans="6:7" ht="15" x14ac:dyDescent="0.25">
      <c r="F1097" s="3" t="s">
        <v>1244</v>
      </c>
      <c r="G1097" s="3">
        <v>5.8700000000000002E-3</v>
      </c>
    </row>
    <row r="1098" spans="6:7" ht="15" x14ac:dyDescent="0.25">
      <c r="F1098" s="3" t="s">
        <v>1245</v>
      </c>
      <c r="G1098" s="3">
        <v>8.2730000000000008E-3</v>
      </c>
    </row>
    <row r="1099" spans="6:7" ht="15" x14ac:dyDescent="0.25">
      <c r="F1099" s="3" t="s">
        <v>1246</v>
      </c>
      <c r="G1099" s="3">
        <v>0.35</v>
      </c>
    </row>
    <row r="1100" spans="6:7" ht="15" x14ac:dyDescent="0.25">
      <c r="F1100" s="3" t="s">
        <v>1247</v>
      </c>
      <c r="G1100" s="3">
        <v>8.9999999999999998E-4</v>
      </c>
    </row>
    <row r="1101" spans="6:7" ht="15" x14ac:dyDescent="0.25">
      <c r="F1101" s="3" t="s">
        <v>1248</v>
      </c>
      <c r="G1101" s="3">
        <v>1.4E-3</v>
      </c>
    </row>
    <row r="1102" spans="6:7" ht="15" x14ac:dyDescent="0.25">
      <c r="F1102" s="3" t="s">
        <v>1249</v>
      </c>
      <c r="G1102" s="3">
        <v>2.2000000000000001E-3</v>
      </c>
    </row>
    <row r="1103" spans="6:7" ht="15" x14ac:dyDescent="0.25">
      <c r="F1103" s="3" t="s">
        <v>1250</v>
      </c>
      <c r="G1103" s="3">
        <v>4.0000000000000001E-3</v>
      </c>
    </row>
    <row r="1104" spans="6:7" ht="15" x14ac:dyDescent="0.25">
      <c r="F1104" s="3" t="s">
        <v>1251</v>
      </c>
      <c r="G1104" s="3">
        <v>6.4999999999999997E-3</v>
      </c>
    </row>
    <row r="1105" spans="6:7" ht="15" x14ac:dyDescent="0.25">
      <c r="F1105" s="3" t="s">
        <v>1252</v>
      </c>
      <c r="G1105" s="3">
        <v>8.3491750000000003E-2</v>
      </c>
    </row>
    <row r="1106" spans="6:7" ht="15" x14ac:dyDescent="0.25">
      <c r="F1106" s="3" t="s">
        <v>1253</v>
      </c>
      <c r="G1106" s="3">
        <v>1.14E-2</v>
      </c>
    </row>
    <row r="1107" spans="6:7" ht="15" x14ac:dyDescent="0.25">
      <c r="F1107" s="3" t="s">
        <v>1254</v>
      </c>
      <c r="G1107" s="3">
        <v>2.3749880000000001E-2</v>
      </c>
    </row>
    <row r="1108" spans="6:7" ht="15" x14ac:dyDescent="0.25">
      <c r="F1108" s="3" t="s">
        <v>1255</v>
      </c>
      <c r="G1108" s="3">
        <v>4.3909999999999998E-2</v>
      </c>
    </row>
    <row r="1109" spans="6:7" ht="15" x14ac:dyDescent="0.25">
      <c r="F1109" s="3" t="s">
        <v>1256</v>
      </c>
      <c r="G1109" s="3">
        <v>8.3487039999999998E-2</v>
      </c>
    </row>
    <row r="1110" spans="6:7" ht="15" x14ac:dyDescent="0.25">
      <c r="F1110" s="3" t="s">
        <v>1257</v>
      </c>
      <c r="G1110" s="3">
        <v>0.15529999999999999</v>
      </c>
    </row>
    <row r="1111" spans="6:7" ht="15" x14ac:dyDescent="0.25">
      <c r="F1111" s="3" t="s">
        <v>1258</v>
      </c>
      <c r="G1111" s="3">
        <v>0.25</v>
      </c>
    </row>
    <row r="1112" spans="6:7" ht="15" x14ac:dyDescent="0.25">
      <c r="F1112" s="3" t="s">
        <v>1259</v>
      </c>
      <c r="G1112" s="3">
        <v>0.35</v>
      </c>
    </row>
    <row r="1113" spans="6:7" ht="15" x14ac:dyDescent="0.25">
      <c r="F1113" s="3" t="s">
        <v>1260</v>
      </c>
      <c r="G1113" s="3">
        <v>1</v>
      </c>
    </row>
    <row r="1114" spans="6:7" ht="15" x14ac:dyDescent="0.25">
      <c r="F1114" s="3" t="s">
        <v>1261</v>
      </c>
      <c r="G1114" s="3">
        <v>1</v>
      </c>
    </row>
    <row r="1115" spans="6:7" ht="15" x14ac:dyDescent="0.25">
      <c r="F1115" s="3" t="s">
        <v>1262</v>
      </c>
      <c r="G1115" s="3">
        <v>1</v>
      </c>
    </row>
    <row r="1116" spans="6:7" ht="15" x14ac:dyDescent="0.25">
      <c r="F1116" s="3" t="s">
        <v>1263</v>
      </c>
      <c r="G1116" s="3">
        <v>6.2074999999999999E-4</v>
      </c>
    </row>
    <row r="1117" spans="6:7" ht="15" x14ac:dyDescent="0.25">
      <c r="F1117" s="3" t="s">
        <v>1264</v>
      </c>
      <c r="G1117" s="3">
        <v>9.1759000000000003E-4</v>
      </c>
    </row>
    <row r="1118" spans="6:7" ht="15" x14ac:dyDescent="0.25">
      <c r="F1118" s="3" t="s">
        <v>1265</v>
      </c>
      <c r="G1118" s="3">
        <v>1.3948400000000001E-3</v>
      </c>
    </row>
    <row r="1119" spans="6:7" ht="15" x14ac:dyDescent="0.25">
      <c r="F1119" s="3" t="s">
        <v>1266</v>
      </c>
      <c r="G1119" s="3">
        <v>2.1246300000000002E-3</v>
      </c>
    </row>
    <row r="1120" spans="6:7" ht="15" x14ac:dyDescent="0.25">
      <c r="F1120" s="3" t="s">
        <v>1267</v>
      </c>
      <c r="G1120" s="3">
        <v>3.07018E-3</v>
      </c>
    </row>
    <row r="1121" spans="6:7" ht="15" x14ac:dyDescent="0.25">
      <c r="F1121" s="3" t="s">
        <v>1268</v>
      </c>
      <c r="G1121" s="3">
        <v>4.4445400000000003E-3</v>
      </c>
    </row>
    <row r="1122" spans="6:7" ht="15" x14ac:dyDescent="0.25">
      <c r="F1122" s="3" t="s">
        <v>1269</v>
      </c>
      <c r="G1122" s="3">
        <v>7.5560000000000002E-3</v>
      </c>
    </row>
    <row r="1123" spans="6:7" ht="15" x14ac:dyDescent="0.25">
      <c r="F1123" s="3" t="s">
        <v>1270</v>
      </c>
      <c r="G1123" s="3">
        <v>1.3210009999999999E-2</v>
      </c>
    </row>
    <row r="1124" spans="6:7" ht="15" x14ac:dyDescent="0.25">
      <c r="F1124" s="3" t="s">
        <v>1271</v>
      </c>
      <c r="G1124" s="3">
        <v>2.3749880000000001E-2</v>
      </c>
    </row>
    <row r="1125" spans="6:7" ht="15" x14ac:dyDescent="0.25">
      <c r="F1125" s="3" t="s">
        <v>1272</v>
      </c>
      <c r="G1125" s="3">
        <v>4.3910339999999999E-2</v>
      </c>
    </row>
    <row r="1126" spans="6:7" ht="15" x14ac:dyDescent="0.25">
      <c r="F1126" s="3" t="s">
        <v>1273</v>
      </c>
      <c r="G1126" s="3">
        <v>8.3487039999999998E-2</v>
      </c>
    </row>
    <row r="1127" spans="6:7" ht="15" x14ac:dyDescent="0.25">
      <c r="F1127" s="3" t="s">
        <v>1274</v>
      </c>
      <c r="G1127" s="3">
        <v>0.16323687000000001</v>
      </c>
    </row>
    <row r="1128" spans="6:7" ht="15" x14ac:dyDescent="0.25">
      <c r="F1128" s="3" t="s">
        <v>1275</v>
      </c>
      <c r="G1128" s="3">
        <v>0.25</v>
      </c>
    </row>
    <row r="1129" spans="6:7" ht="15" x14ac:dyDescent="0.25">
      <c r="F1129" s="3" t="s">
        <v>1276</v>
      </c>
      <c r="G1129" s="3">
        <v>0.35</v>
      </c>
    </row>
    <row r="1130" spans="6:7" ht="15" x14ac:dyDescent="0.25">
      <c r="F1130" s="3" t="s">
        <v>1277</v>
      </c>
      <c r="G1130" s="3">
        <v>1</v>
      </c>
    </row>
    <row r="1131" spans="6:7" ht="15" x14ac:dyDescent="0.25">
      <c r="F1131" s="3" t="s">
        <v>1278</v>
      </c>
      <c r="G1131" s="3">
        <v>1</v>
      </c>
    </row>
    <row r="1132" spans="6:7" ht="15" x14ac:dyDescent="0.25">
      <c r="F1132" s="3" t="s">
        <v>1279</v>
      </c>
      <c r="G1132" s="3">
        <v>1</v>
      </c>
    </row>
    <row r="1133" spans="6:7" ht="15" x14ac:dyDescent="0.25">
      <c r="F1133" s="3" t="s">
        <v>1280</v>
      </c>
      <c r="G1133" s="3">
        <v>0.16323687000000001</v>
      </c>
    </row>
    <row r="1134" spans="6:7" ht="15" x14ac:dyDescent="0.25">
      <c r="F1134" s="3" t="s">
        <v>1281</v>
      </c>
      <c r="G1134" s="3">
        <v>3.4499999999999999E-3</v>
      </c>
    </row>
    <row r="1135" spans="6:7" ht="15" x14ac:dyDescent="0.25">
      <c r="F1135" s="3" t="s">
        <v>1282</v>
      </c>
      <c r="G1135" s="3">
        <v>6.2870000000000005E-4</v>
      </c>
    </row>
    <row r="1136" spans="6:7" ht="15" x14ac:dyDescent="0.25">
      <c r="F1136" s="3" t="s">
        <v>1283</v>
      </c>
      <c r="G1136" s="3">
        <v>9.0450000000000003E-4</v>
      </c>
    </row>
    <row r="1137" spans="6:7" ht="15" x14ac:dyDescent="0.25">
      <c r="F1137" s="3" t="s">
        <v>1284</v>
      </c>
      <c r="G1137" s="3">
        <v>1.3752E-3</v>
      </c>
    </row>
    <row r="1138" spans="6:7" ht="15" x14ac:dyDescent="0.25">
      <c r="F1138" s="3" t="s">
        <v>1285</v>
      </c>
      <c r="G1138" s="3">
        <v>2.1518000000000002E-3</v>
      </c>
    </row>
    <row r="1139" spans="6:7" ht="15" x14ac:dyDescent="0.25">
      <c r="F1139" s="3" t="s">
        <v>1286</v>
      </c>
      <c r="G1139" s="3">
        <v>3.0488999999999998E-3</v>
      </c>
    </row>
    <row r="1140" spans="6:7" ht="15" x14ac:dyDescent="0.25">
      <c r="F1140" s="3" t="s">
        <v>1287</v>
      </c>
      <c r="G1140" s="3">
        <v>4.5132000000000002E-3</v>
      </c>
    </row>
    <row r="1141" spans="6:7" ht="15" x14ac:dyDescent="0.25">
      <c r="F1141" s="3" t="s">
        <v>1288</v>
      </c>
      <c r="G1141" s="3">
        <v>7.8242999999999993E-3</v>
      </c>
    </row>
    <row r="1142" spans="6:7" ht="15" x14ac:dyDescent="0.25">
      <c r="F1142" s="3" t="s">
        <v>1289</v>
      </c>
      <c r="G1142" s="3">
        <v>1.39457E-2</v>
      </c>
    </row>
    <row r="1143" spans="6:7" ht="15" x14ac:dyDescent="0.25">
      <c r="F1143" s="3" t="s">
        <v>1290</v>
      </c>
      <c r="G1143" s="3">
        <v>2.4996899999999999E-2</v>
      </c>
    </row>
    <row r="1144" spans="6:7" ht="15" x14ac:dyDescent="0.25">
      <c r="F1144" s="3" t="s">
        <v>1291</v>
      </c>
      <c r="G1144" s="3">
        <v>4.0533899999999998E-2</v>
      </c>
    </row>
    <row r="1145" spans="6:7" ht="15" x14ac:dyDescent="0.25">
      <c r="F1145" s="3" t="s">
        <v>1292</v>
      </c>
      <c r="G1145" s="3">
        <v>7.9909900000000006E-2</v>
      </c>
    </row>
    <row r="1146" spans="6:7" ht="15" x14ac:dyDescent="0.25">
      <c r="F1146" s="3" t="s">
        <v>1293</v>
      </c>
      <c r="G1146" s="3">
        <v>0.162831</v>
      </c>
    </row>
    <row r="1147" spans="6:7" ht="15" x14ac:dyDescent="0.25">
      <c r="F1147" s="3" t="s">
        <v>1294</v>
      </c>
      <c r="G1147" s="3">
        <v>0.25053799999999998</v>
      </c>
    </row>
    <row r="1148" spans="6:7" ht="15" x14ac:dyDescent="0.25">
      <c r="F1148" s="3" t="s">
        <v>1295</v>
      </c>
      <c r="G1148" s="3">
        <v>0.36447800000000002</v>
      </c>
    </row>
    <row r="1149" spans="6:7" ht="15" x14ac:dyDescent="0.25">
      <c r="F1149" s="3" t="s">
        <v>1296</v>
      </c>
      <c r="G1149" s="3">
        <v>1</v>
      </c>
    </row>
    <row r="1150" spans="6:7" ht="15" x14ac:dyDescent="0.25">
      <c r="F1150" s="3" t="s">
        <v>1297</v>
      </c>
      <c r="G1150" s="3">
        <v>1</v>
      </c>
    </row>
    <row r="1151" spans="6:7" ht="15" x14ac:dyDescent="0.25">
      <c r="F1151" s="3" t="s">
        <v>1298</v>
      </c>
      <c r="G1151" s="3">
        <v>1</v>
      </c>
    </row>
    <row r="1152" spans="6:7" ht="15" x14ac:dyDescent="0.25">
      <c r="F1152" s="3" t="s">
        <v>1299</v>
      </c>
      <c r="G1152" s="3">
        <v>1.03E-4</v>
      </c>
    </row>
    <row r="1153" spans="6:7" ht="15" x14ac:dyDescent="0.25">
      <c r="F1153" s="3" t="s">
        <v>1300</v>
      </c>
      <c r="G1153" s="3">
        <v>2.0599999999999999E-4</v>
      </c>
    </row>
    <row r="1154" spans="6:7" ht="15" x14ac:dyDescent="0.25">
      <c r="F1154" s="3" t="s">
        <v>1301</v>
      </c>
      <c r="G1154" s="3">
        <v>3.0899999999999998E-4</v>
      </c>
    </row>
    <row r="1155" spans="6:7" ht="15" x14ac:dyDescent="0.25">
      <c r="F1155" s="3" t="s">
        <v>1302</v>
      </c>
      <c r="G1155" s="3">
        <v>4.1199999999999999E-4</v>
      </c>
    </row>
    <row r="1156" spans="6:7" ht="15" x14ac:dyDescent="0.25">
      <c r="F1156" s="3" t="s">
        <v>1303</v>
      </c>
      <c r="G1156" s="3">
        <v>5.1500000000000005E-4</v>
      </c>
    </row>
    <row r="1157" spans="6:7" ht="15" x14ac:dyDescent="0.25">
      <c r="F1157" s="3" t="s">
        <v>1304</v>
      </c>
      <c r="G1157" s="3">
        <v>6.2074999999999999E-4</v>
      </c>
    </row>
    <row r="1158" spans="6:7" ht="15" x14ac:dyDescent="0.25">
      <c r="F1158" s="3" t="s">
        <v>1305</v>
      </c>
      <c r="G1158" s="3">
        <v>9.1759000000000003E-4</v>
      </c>
    </row>
    <row r="1159" spans="6:7" ht="15" x14ac:dyDescent="0.25">
      <c r="F1159" s="3" t="s">
        <v>1306</v>
      </c>
      <c r="G1159" s="3">
        <v>1.3948400000000001E-3</v>
      </c>
    </row>
    <row r="1160" spans="6:7" ht="15" x14ac:dyDescent="0.25">
      <c r="F1160" s="3" t="s">
        <v>1307</v>
      </c>
      <c r="G1160" s="3">
        <v>2.1246300000000002E-3</v>
      </c>
    </row>
    <row r="1161" spans="6:7" ht="15" x14ac:dyDescent="0.25">
      <c r="F1161" s="3" t="s">
        <v>1308</v>
      </c>
      <c r="G1161" s="3">
        <v>3.07018E-3</v>
      </c>
    </row>
    <row r="1162" spans="6:7" ht="15" x14ac:dyDescent="0.25">
      <c r="F1162" s="3" t="s">
        <v>1309</v>
      </c>
      <c r="G1162" s="3">
        <v>4.4445400000000003E-3</v>
      </c>
    </row>
    <row r="1163" spans="6:7" ht="15" x14ac:dyDescent="0.25">
      <c r="F1163" s="3" t="s">
        <v>1310</v>
      </c>
      <c r="G1163" s="3">
        <v>7.5560000000000002E-3</v>
      </c>
    </row>
    <row r="1164" spans="6:7" ht="15" x14ac:dyDescent="0.25">
      <c r="F1164" s="3" t="s">
        <v>1311</v>
      </c>
      <c r="G1164" s="3">
        <v>1.3210009999999999E-2</v>
      </c>
    </row>
    <row r="1165" spans="6:7" ht="15" x14ac:dyDescent="0.25">
      <c r="F1165" s="3" t="s">
        <v>1312</v>
      </c>
      <c r="G1165" s="3">
        <v>2.3749880000000001E-2</v>
      </c>
    </row>
    <row r="1166" spans="6:7" ht="15" x14ac:dyDescent="0.25">
      <c r="F1166" s="3" t="s">
        <v>1313</v>
      </c>
      <c r="G1166" s="3">
        <v>4.3910339999999999E-2</v>
      </c>
    </row>
    <row r="1167" spans="6:7" ht="15" x14ac:dyDescent="0.25">
      <c r="F1167" s="3" t="s">
        <v>1314</v>
      </c>
      <c r="G1167" s="3">
        <v>8.3487039999999998E-2</v>
      </c>
    </row>
    <row r="1168" spans="6:7" ht="15" x14ac:dyDescent="0.25">
      <c r="F1168" s="3" t="s">
        <v>1315</v>
      </c>
      <c r="G1168" s="3">
        <v>0.25</v>
      </c>
    </row>
    <row r="1169" spans="6:7" ht="15" x14ac:dyDescent="0.25">
      <c r="F1169" s="3" t="s">
        <v>1316</v>
      </c>
      <c r="G1169" s="3">
        <v>2.0599999999999999E-4</v>
      </c>
    </row>
    <row r="1170" spans="6:7" ht="15" x14ac:dyDescent="0.25">
      <c r="F1170" s="3" t="s">
        <v>1317</v>
      </c>
      <c r="G1170" s="3">
        <v>3.0899999999999998E-4</v>
      </c>
    </row>
    <row r="1171" spans="6:7" ht="15" x14ac:dyDescent="0.25">
      <c r="F1171" s="3" t="s">
        <v>1318</v>
      </c>
      <c r="G1171" s="3">
        <v>4.1199999999999999E-4</v>
      </c>
    </row>
    <row r="1172" spans="6:7" ht="15" x14ac:dyDescent="0.25">
      <c r="F1172" s="3" t="s">
        <v>1319</v>
      </c>
      <c r="G1172" s="3">
        <v>5.1500000000000005E-4</v>
      </c>
    </row>
    <row r="1173" spans="6:7" ht="15" x14ac:dyDescent="0.25">
      <c r="F1173" s="3" t="s">
        <v>1320</v>
      </c>
      <c r="G1173" s="3">
        <v>6.2074999999999999E-4</v>
      </c>
    </row>
    <row r="1174" spans="6:7" ht="15" x14ac:dyDescent="0.25">
      <c r="F1174" s="3" t="s">
        <v>1321</v>
      </c>
      <c r="G1174" s="3">
        <v>9.1759000000000003E-4</v>
      </c>
    </row>
    <row r="1175" spans="6:7" ht="15" x14ac:dyDescent="0.25">
      <c r="F1175" s="3" t="s">
        <v>1322</v>
      </c>
      <c r="G1175" s="3">
        <v>1.3948400000000001E-3</v>
      </c>
    </row>
    <row r="1176" spans="6:7" ht="15" x14ac:dyDescent="0.25">
      <c r="F1176" s="3" t="s">
        <v>1323</v>
      </c>
      <c r="G1176" s="3">
        <v>1.2189999999999999E-2</v>
      </c>
    </row>
    <row r="1177" spans="6:7" ht="15" x14ac:dyDescent="0.25">
      <c r="F1177" s="3" t="s">
        <v>1324</v>
      </c>
      <c r="G1177" s="3">
        <v>1.13671E-2</v>
      </c>
    </row>
    <row r="1178" spans="6:7" ht="15" x14ac:dyDescent="0.25">
      <c r="F1178" s="3" t="s">
        <v>1325</v>
      </c>
      <c r="G1178" s="3">
        <v>1.899E-2</v>
      </c>
    </row>
    <row r="1179" spans="6:7" ht="15" x14ac:dyDescent="0.25">
      <c r="F1179" s="3" t="s">
        <v>1326</v>
      </c>
      <c r="G1179" s="3">
        <v>3.1780000000000003E-2</v>
      </c>
    </row>
    <row r="1180" spans="6:7" ht="15" x14ac:dyDescent="0.25">
      <c r="F1180" s="3" t="s">
        <v>1327</v>
      </c>
      <c r="G1180" s="3">
        <v>6.1060000000000003E-2</v>
      </c>
    </row>
    <row r="1181" spans="6:7" ht="15" x14ac:dyDescent="0.25">
      <c r="F1181" s="3" t="s">
        <v>1328</v>
      </c>
      <c r="G1181" s="3">
        <v>0.11382</v>
      </c>
    </row>
    <row r="1182" spans="6:7" ht="15" x14ac:dyDescent="0.25">
      <c r="F1182" s="3" t="s">
        <v>1329</v>
      </c>
      <c r="G1182" s="3">
        <v>4.3899999999999998E-3</v>
      </c>
    </row>
    <row r="1183" spans="6:7" ht="15" x14ac:dyDescent="0.25">
      <c r="F1183" s="3" t="s">
        <v>1330</v>
      </c>
      <c r="G1183" s="3">
        <v>1.899E-2</v>
      </c>
    </row>
    <row r="1184" spans="6:7" ht="15" x14ac:dyDescent="0.25">
      <c r="F1184" s="3" t="s">
        <v>1331</v>
      </c>
      <c r="G1184" s="3">
        <v>3.1780000000000003E-2</v>
      </c>
    </row>
    <row r="1185" spans="6:7" ht="15" x14ac:dyDescent="0.25">
      <c r="F1185" s="3" t="s">
        <v>1332</v>
      </c>
      <c r="G1185" s="3">
        <v>6.1060000000000003E-2</v>
      </c>
    </row>
    <row r="1186" spans="6:7" ht="15" x14ac:dyDescent="0.25">
      <c r="F1186" s="3" t="s">
        <v>1333</v>
      </c>
      <c r="G1186" s="3">
        <v>0.11382</v>
      </c>
    </row>
    <row r="1187" spans="6:7" ht="15" x14ac:dyDescent="0.25">
      <c r="F1187" s="3" t="s">
        <v>1334</v>
      </c>
      <c r="G1187" s="3">
        <v>3.0747000000000001E-4</v>
      </c>
    </row>
    <row r="1188" spans="6:7" ht="15" x14ac:dyDescent="0.25">
      <c r="F1188" s="3" t="s">
        <v>1335</v>
      </c>
      <c r="G1188" s="3">
        <v>6.5450000000000003E-4</v>
      </c>
    </row>
    <row r="1189" spans="6:7" ht="15" x14ac:dyDescent="0.25">
      <c r="F1189" s="3" t="s">
        <v>1336</v>
      </c>
      <c r="G1189" s="3">
        <v>1.3188799999999999E-3</v>
      </c>
    </row>
    <row r="1190" spans="6:7" ht="15" x14ac:dyDescent="0.25">
      <c r="F1190" s="3" t="s">
        <v>1337</v>
      </c>
      <c r="G1190" s="3">
        <v>2.51534E-3</v>
      </c>
    </row>
    <row r="1191" spans="6:7" ht="15" x14ac:dyDescent="0.25">
      <c r="F1191" s="3" t="s">
        <v>1338</v>
      </c>
      <c r="G1191" s="3">
        <v>4.5389100000000002E-3</v>
      </c>
    </row>
    <row r="1192" spans="6:7" ht="15" x14ac:dyDescent="0.25">
      <c r="F1192" s="3" t="s">
        <v>1339</v>
      </c>
      <c r="G1192" s="3">
        <v>7.7466100000000001E-3</v>
      </c>
    </row>
    <row r="1193" spans="6:7" ht="15" x14ac:dyDescent="0.25">
      <c r="F1193" s="3" t="s">
        <v>1340</v>
      </c>
      <c r="G1193" s="3">
        <v>4.3910339999999999E-2</v>
      </c>
    </row>
    <row r="1194" spans="6:7" ht="15" x14ac:dyDescent="0.25">
      <c r="F1194" s="3" t="s">
        <v>1341</v>
      </c>
      <c r="G1194" s="3">
        <v>8.3487039999999998E-2</v>
      </c>
    </row>
    <row r="1195" spans="6:7" ht="15" x14ac:dyDescent="0.25">
      <c r="F1195" s="3" t="s">
        <v>1342</v>
      </c>
      <c r="G1195" s="3">
        <v>1.250009E-2</v>
      </c>
    </row>
    <row r="1196" spans="6:7" ht="15" x14ac:dyDescent="0.25">
      <c r="F1196" s="3" t="s">
        <v>1343</v>
      </c>
      <c r="G1196" s="3">
        <v>1.9064649999999999E-2</v>
      </c>
    </row>
    <row r="1197" spans="6:7" ht="15" x14ac:dyDescent="0.25">
      <c r="F1197" s="3" t="s">
        <v>1344</v>
      </c>
      <c r="G1197" s="3">
        <v>2.7480460000000002E-2</v>
      </c>
    </row>
    <row r="1198" spans="6:7" ht="15" x14ac:dyDescent="0.25">
      <c r="F1198" s="3" t="s">
        <v>1345</v>
      </c>
      <c r="G1198" s="3">
        <v>3.7446630000000002E-2</v>
      </c>
    </row>
    <row r="1199" spans="6:7" ht="15" x14ac:dyDescent="0.25">
      <c r="F1199" s="3" t="s">
        <v>1346</v>
      </c>
      <c r="G1199" s="3">
        <v>4.8271250000000002E-2</v>
      </c>
    </row>
    <row r="1200" spans="6:7" ht="15" x14ac:dyDescent="0.25">
      <c r="F1200" s="3" t="s">
        <v>1347</v>
      </c>
      <c r="G1200" s="3">
        <v>5.8926600000000003E-2</v>
      </c>
    </row>
    <row r="1201" spans="6:7" ht="15" x14ac:dyDescent="0.25">
      <c r="F1201" s="3" t="s">
        <v>1348</v>
      </c>
      <c r="G1201" s="3">
        <v>6.8209329999999999E-2</v>
      </c>
    </row>
    <row r="1202" spans="6:7" ht="15" x14ac:dyDescent="0.25">
      <c r="F1202" s="3" t="s">
        <v>1349</v>
      </c>
      <c r="G1202" s="3">
        <v>7.496303E-2</v>
      </c>
    </row>
    <row r="1203" spans="6:7" ht="15" x14ac:dyDescent="0.25">
      <c r="F1203" s="3" t="s">
        <v>1350</v>
      </c>
      <c r="G1203" s="3">
        <v>8.3491750000000003E-2</v>
      </c>
    </row>
    <row r="1204" spans="6:7" ht="15" x14ac:dyDescent="0.25">
      <c r="F1204" s="3" t="s">
        <v>1351</v>
      </c>
      <c r="G1204" s="3">
        <v>0.14282465</v>
      </c>
    </row>
    <row r="1205" spans="6:7" ht="15" x14ac:dyDescent="0.25">
      <c r="F1205" s="3" t="s">
        <v>1352</v>
      </c>
      <c r="G1205" s="3">
        <v>1</v>
      </c>
    </row>
    <row r="1206" spans="6:7" ht="15" x14ac:dyDescent="0.25">
      <c r="F1206" s="3" t="s">
        <v>1353</v>
      </c>
      <c r="G1206" s="3">
        <v>1</v>
      </c>
    </row>
    <row r="1207" spans="6:7" ht="15" x14ac:dyDescent="0.25">
      <c r="F1207" s="3" t="s">
        <v>1354</v>
      </c>
      <c r="G1207" s="3">
        <v>1</v>
      </c>
    </row>
    <row r="1208" spans="6:7" ht="15" x14ac:dyDescent="0.25">
      <c r="F1208" s="3" t="s">
        <v>1355</v>
      </c>
      <c r="G1208" s="3">
        <v>5.0000000000000001E-4</v>
      </c>
    </row>
    <row r="1209" spans="6:7" ht="15" x14ac:dyDescent="0.25">
      <c r="F1209" s="3" t="s">
        <v>1356</v>
      </c>
      <c r="G1209" s="3">
        <v>6.0269999999999996E-4</v>
      </c>
    </row>
    <row r="1210" spans="6:7" ht="15" x14ac:dyDescent="0.25">
      <c r="F1210" s="3" t="s">
        <v>1357</v>
      </c>
      <c r="G1210" s="3">
        <v>9.1759000000000003E-4</v>
      </c>
    </row>
    <row r="1211" spans="6:7" ht="15" x14ac:dyDescent="0.25">
      <c r="F1211" s="3" t="s">
        <v>1358</v>
      </c>
      <c r="G1211" s="3">
        <v>1.3948400000000001E-3</v>
      </c>
    </row>
    <row r="1212" spans="6:7" ht="15" x14ac:dyDescent="0.25">
      <c r="F1212" s="3" t="s">
        <v>1359</v>
      </c>
      <c r="G1212" s="3">
        <v>2.1246300000000002E-3</v>
      </c>
    </row>
    <row r="1213" spans="6:7" ht="15" x14ac:dyDescent="0.25">
      <c r="F1213" s="3" t="s">
        <v>1360</v>
      </c>
      <c r="G1213" s="3">
        <v>3.07018E-3</v>
      </c>
    </row>
    <row r="1214" spans="6:7" ht="15" x14ac:dyDescent="0.25">
      <c r="F1214" s="3" t="s">
        <v>1361</v>
      </c>
      <c r="G1214" s="3">
        <v>4.4445400000000003E-3</v>
      </c>
    </row>
    <row r="1215" spans="6:7" ht="15" x14ac:dyDescent="0.25">
      <c r="F1215" s="3" t="s">
        <v>1362</v>
      </c>
      <c r="G1215" s="3">
        <v>7.5560000000000002E-3</v>
      </c>
    </row>
    <row r="1216" spans="6:7" ht="15" x14ac:dyDescent="0.25">
      <c r="F1216" s="3" t="s">
        <v>1363</v>
      </c>
      <c r="G1216" s="3">
        <v>1.3210009999999999E-2</v>
      </c>
    </row>
    <row r="1217" spans="6:7" ht="15" x14ac:dyDescent="0.25">
      <c r="F1217" s="3" t="s">
        <v>1364</v>
      </c>
      <c r="G1217" s="3">
        <v>2.3749880000000001E-2</v>
      </c>
    </row>
    <row r="1218" spans="6:7" ht="15" x14ac:dyDescent="0.25">
      <c r="F1218" s="3" t="s">
        <v>1365</v>
      </c>
      <c r="G1218" s="3">
        <v>4.3910339999999999E-2</v>
      </c>
    </row>
    <row r="1219" spans="6:7" ht="15" x14ac:dyDescent="0.25">
      <c r="F1219" s="3" t="s">
        <v>1366</v>
      </c>
      <c r="G1219" s="3">
        <v>8.3487039999999998E-2</v>
      </c>
    </row>
    <row r="1220" spans="6:7" ht="15" x14ac:dyDescent="0.25">
      <c r="F1220" s="3" t="s">
        <v>1367</v>
      </c>
      <c r="G1220" s="3">
        <v>0.16323687000000001</v>
      </c>
    </row>
    <row r="1221" spans="6:7" ht="15" x14ac:dyDescent="0.25">
      <c r="F1221" s="3" t="s">
        <v>1368</v>
      </c>
      <c r="G1221" s="3">
        <v>0.25</v>
      </c>
    </row>
    <row r="1222" spans="6:7" ht="15" x14ac:dyDescent="0.25">
      <c r="F1222" s="3" t="s">
        <v>1369</v>
      </c>
      <c r="G1222" s="3">
        <v>0.35</v>
      </c>
    </row>
    <row r="1223" spans="6:7" ht="15" x14ac:dyDescent="0.25">
      <c r="F1223" s="3" t="s">
        <v>1370</v>
      </c>
      <c r="G1223" s="3">
        <v>1</v>
      </c>
    </row>
    <row r="1224" spans="6:7" ht="15" x14ac:dyDescent="0.25">
      <c r="F1224" s="3" t="s">
        <v>1371</v>
      </c>
      <c r="G1224" s="3">
        <v>1</v>
      </c>
    </row>
    <row r="1225" spans="6:7" ht="15" x14ac:dyDescent="0.25">
      <c r="F1225" s="3" t="s">
        <v>1372</v>
      </c>
      <c r="G1225" s="3">
        <v>1</v>
      </c>
    </row>
    <row r="1226" spans="6:7" ht="15" x14ac:dyDescent="0.25">
      <c r="F1226" s="3" t="s">
        <v>1373</v>
      </c>
      <c r="G1226" s="3">
        <v>2.1246300000000002E-3</v>
      </c>
    </row>
    <row r="1227" spans="6:7" ht="15" x14ac:dyDescent="0.25">
      <c r="F1227" s="3" t="s">
        <v>1374</v>
      </c>
      <c r="G1227" s="3">
        <v>3.07018E-3</v>
      </c>
    </row>
    <row r="1228" spans="6:7" ht="15" x14ac:dyDescent="0.25">
      <c r="F1228" s="3" t="s">
        <v>1375</v>
      </c>
      <c r="G1228" s="3">
        <v>4.4445400000000003E-3</v>
      </c>
    </row>
    <row r="1229" spans="6:7" ht="15" x14ac:dyDescent="0.25">
      <c r="F1229" s="3" t="s">
        <v>1376</v>
      </c>
      <c r="G1229" s="3">
        <v>7.5560000000000002E-3</v>
      </c>
    </row>
    <row r="1230" spans="6:7" ht="15" x14ac:dyDescent="0.25">
      <c r="F1230" s="3" t="s">
        <v>1377</v>
      </c>
      <c r="G1230" s="3">
        <v>0.16114834</v>
      </c>
    </row>
    <row r="1231" spans="6:7" ht="15" x14ac:dyDescent="0.25">
      <c r="F1231" s="3" t="s">
        <v>1378</v>
      </c>
      <c r="G1231" s="3">
        <v>1</v>
      </c>
    </row>
    <row r="1232" spans="6:7" ht="15" x14ac:dyDescent="0.25">
      <c r="F1232" s="3" t="s">
        <v>1379</v>
      </c>
      <c r="G1232" s="3">
        <v>1</v>
      </c>
    </row>
    <row r="1233" spans="6:7" ht="15" x14ac:dyDescent="0.25">
      <c r="F1233" s="3" t="s">
        <v>1380</v>
      </c>
      <c r="G1233" s="3">
        <v>7.5560000000000002E-3</v>
      </c>
    </row>
    <row r="1234" spans="6:7" ht="15" x14ac:dyDescent="0.25">
      <c r="F1234" s="3" t="s">
        <v>1381</v>
      </c>
      <c r="G1234" s="3">
        <v>1</v>
      </c>
    </row>
    <row r="1235" spans="6:7" ht="15" x14ac:dyDescent="0.25">
      <c r="F1235" s="3" t="s">
        <v>1382</v>
      </c>
      <c r="G1235" s="3">
        <v>1.3238E-3</v>
      </c>
    </row>
    <row r="1236" spans="6:7" ht="15" x14ac:dyDescent="0.25">
      <c r="F1236" s="3" t="s">
        <v>1383</v>
      </c>
      <c r="G1236" s="3">
        <v>3.5593700000000001E-3</v>
      </c>
    </row>
    <row r="1237" spans="6:7" ht="15" x14ac:dyDescent="0.25">
      <c r="F1237" s="3" t="s">
        <v>1384</v>
      </c>
      <c r="G1237" s="3">
        <v>2.3749880000000001E-2</v>
      </c>
    </row>
    <row r="1238" spans="6:7" ht="15" x14ac:dyDescent="0.25">
      <c r="F1238" s="3" t="s">
        <v>1385</v>
      </c>
      <c r="G1238" s="3">
        <v>1.3210009999999999E-2</v>
      </c>
    </row>
    <row r="1239" spans="6:7" ht="15" x14ac:dyDescent="0.25">
      <c r="F1239" s="3" t="s">
        <v>1386</v>
      </c>
      <c r="G1239" s="3">
        <v>1</v>
      </c>
    </row>
    <row r="1240" spans="6:7" ht="15" x14ac:dyDescent="0.25">
      <c r="F1240" s="3" t="s">
        <v>1387</v>
      </c>
      <c r="G1240" s="3">
        <v>1</v>
      </c>
    </row>
    <row r="1241" spans="6:7" ht="15" x14ac:dyDescent="0.25">
      <c r="F1241" s="3" t="s">
        <v>1388</v>
      </c>
      <c r="G1241" s="3">
        <v>1</v>
      </c>
    </row>
    <row r="1242" spans="6:7" ht="15" x14ac:dyDescent="0.25">
      <c r="F1242" s="3" t="s">
        <v>1389</v>
      </c>
      <c r="G1242" s="3">
        <v>1.6670000000000001E-4</v>
      </c>
    </row>
    <row r="1243" spans="6:7" ht="15" x14ac:dyDescent="0.25">
      <c r="F1243" s="3" t="s">
        <v>1390</v>
      </c>
      <c r="G1243" s="3">
        <v>2.8499999999999999E-4</v>
      </c>
    </row>
    <row r="1244" spans="6:7" ht="15" x14ac:dyDescent="0.25">
      <c r="F1244" s="3" t="s">
        <v>1391</v>
      </c>
      <c r="G1244" s="3">
        <v>4.7669999999999999E-4</v>
      </c>
    </row>
    <row r="1245" spans="6:7" ht="15" x14ac:dyDescent="0.25">
      <c r="F1245" s="3" t="s">
        <v>1392</v>
      </c>
      <c r="G1245" s="3">
        <v>7.5210000000000001E-4</v>
      </c>
    </row>
    <row r="1246" spans="6:7" ht="15" x14ac:dyDescent="0.25">
      <c r="F1246" s="3" t="s">
        <v>1393</v>
      </c>
      <c r="G1246" s="3">
        <v>1.7302000000000001E-3</v>
      </c>
    </row>
    <row r="1247" spans="6:7" ht="15" x14ac:dyDescent="0.25">
      <c r="F1247" s="3" t="s">
        <v>1394</v>
      </c>
      <c r="G1247" s="3">
        <v>7.7913000000000001E-3</v>
      </c>
    </row>
    <row r="1248" spans="6:7" ht="15" x14ac:dyDescent="0.25">
      <c r="F1248" s="3" t="s">
        <v>1395</v>
      </c>
      <c r="G1248" s="3">
        <v>6.6614900000000005E-2</v>
      </c>
    </row>
    <row r="1249" spans="6:7" ht="15" x14ac:dyDescent="0.25">
      <c r="F1249" s="3" t="s">
        <v>1396</v>
      </c>
      <c r="G1249" s="3">
        <v>0.1119681</v>
      </c>
    </row>
    <row r="1250" spans="6:7" ht="15" x14ac:dyDescent="0.25">
      <c r="F1250" s="3" t="s">
        <v>1397</v>
      </c>
      <c r="G1250" s="3">
        <v>0.1960132</v>
      </c>
    </row>
    <row r="1251" spans="6:7" ht="15" x14ac:dyDescent="0.25">
      <c r="F1251" s="3" t="s">
        <v>1398</v>
      </c>
      <c r="G1251" s="3">
        <v>0.43578099999999997</v>
      </c>
    </row>
    <row r="1252" spans="6:7" ht="15" x14ac:dyDescent="0.25">
      <c r="F1252" s="3" t="s">
        <v>1399</v>
      </c>
      <c r="G1252" s="3">
        <v>1</v>
      </c>
    </row>
    <row r="1253" spans="6:7" ht="15" x14ac:dyDescent="0.25">
      <c r="F1253" s="3" t="s">
        <v>1400</v>
      </c>
      <c r="G1253" s="3">
        <v>1</v>
      </c>
    </row>
    <row r="1254" spans="6:7" ht="15" x14ac:dyDescent="0.25">
      <c r="F1254" s="3" t="s">
        <v>1401</v>
      </c>
      <c r="G1254" s="3">
        <v>1</v>
      </c>
    </row>
    <row r="1255" spans="6:7" ht="15" x14ac:dyDescent="0.25">
      <c r="F1255" s="3" t="s">
        <v>1402</v>
      </c>
      <c r="G1255" s="3">
        <v>0.25</v>
      </c>
    </row>
    <row r="1256" spans="6:7" ht="15" x14ac:dyDescent="0.25">
      <c r="F1256" s="3" t="s">
        <v>1403</v>
      </c>
      <c r="G1256" s="3">
        <v>0.16323687000000001</v>
      </c>
    </row>
    <row r="1257" spans="6:7" ht="15" x14ac:dyDescent="0.25">
      <c r="F1257" s="3" t="s">
        <v>1404</v>
      </c>
      <c r="G1257" s="3">
        <v>0.35</v>
      </c>
    </row>
    <row r="1258" spans="6:7" ht="15" x14ac:dyDescent="0.25">
      <c r="F1258" s="3" t="s">
        <v>1405</v>
      </c>
      <c r="G1258" s="3">
        <v>4.1199999999999999E-4</v>
      </c>
    </row>
    <row r="1259" spans="6:7" ht="15" x14ac:dyDescent="0.25">
      <c r="F1259" s="3" t="s">
        <v>1406</v>
      </c>
      <c r="G1259" s="3">
        <v>3.0899999999999998E-4</v>
      </c>
    </row>
    <row r="1260" spans="6:7" ht="15" x14ac:dyDescent="0.25">
      <c r="F1260" s="3" t="s">
        <v>1407</v>
      </c>
      <c r="G1260" s="3">
        <v>2.6220000000000002E-3</v>
      </c>
    </row>
    <row r="1261" spans="6:7" ht="15" x14ac:dyDescent="0.25">
      <c r="F1261" s="3" t="s">
        <v>1408</v>
      </c>
      <c r="G1261" s="3">
        <v>5.1500000000000005E-4</v>
      </c>
    </row>
    <row r="1262" spans="6:7" ht="15" x14ac:dyDescent="0.25">
      <c r="F1262" s="3" t="s">
        <v>1409</v>
      </c>
      <c r="G1262" s="3">
        <v>1.03E-4</v>
      </c>
    </row>
    <row r="1263" spans="6:7" ht="15" x14ac:dyDescent="0.25">
      <c r="F1263" s="3" t="s">
        <v>1410</v>
      </c>
      <c r="G1263" s="3">
        <v>2.0599999999999999E-4</v>
      </c>
    </row>
    <row r="1264" spans="6:7" ht="15" x14ac:dyDescent="0.25">
      <c r="F1264" s="3" t="s">
        <v>1411</v>
      </c>
      <c r="G1264" s="3">
        <v>3.07018E-3</v>
      </c>
    </row>
    <row r="1265" spans="6:7" ht="15" x14ac:dyDescent="0.25">
      <c r="F1265" s="3" t="s">
        <v>1412</v>
      </c>
      <c r="G1265" s="3">
        <v>2.1246300000000002E-3</v>
      </c>
    </row>
    <row r="1266" spans="6:7" ht="15" x14ac:dyDescent="0.25">
      <c r="F1266" s="3" t="s">
        <v>1413</v>
      </c>
      <c r="G1266" s="3">
        <v>4.4445400000000003E-3</v>
      </c>
    </row>
    <row r="1267" spans="6:7" ht="15" x14ac:dyDescent="0.25">
      <c r="F1267" s="3" t="s">
        <v>1414</v>
      </c>
      <c r="G1267" s="3">
        <v>9.1759000000000003E-4</v>
      </c>
    </row>
    <row r="1268" spans="6:7" ht="15" x14ac:dyDescent="0.25">
      <c r="F1268" s="3" t="s">
        <v>1415</v>
      </c>
      <c r="G1268" s="3">
        <v>6.2074999999999999E-4</v>
      </c>
    </row>
    <row r="1269" spans="6:7" ht="15" x14ac:dyDescent="0.25">
      <c r="F1269" s="3" t="s">
        <v>1416</v>
      </c>
      <c r="G1269" s="3">
        <v>1.3948400000000001E-3</v>
      </c>
    </row>
    <row r="1270" spans="6:7" ht="15" x14ac:dyDescent="0.25">
      <c r="F1270" s="3" t="s">
        <v>1417</v>
      </c>
      <c r="G1270" s="3">
        <v>0.35</v>
      </c>
    </row>
    <row r="1271" spans="6:7" ht="15" x14ac:dyDescent="0.25">
      <c r="F1271" s="3" t="s">
        <v>1418</v>
      </c>
      <c r="G1271" s="3">
        <v>0.16323687000000001</v>
      </c>
    </row>
    <row r="1272" spans="6:7" ht="15" x14ac:dyDescent="0.25">
      <c r="F1272" s="3" t="s">
        <v>1419</v>
      </c>
      <c r="G1272" s="3">
        <v>8.0838000000000004E-3</v>
      </c>
    </row>
    <row r="1273" spans="6:7" ht="15" x14ac:dyDescent="0.25">
      <c r="F1273" s="3" t="s">
        <v>1420</v>
      </c>
      <c r="G1273" s="3">
        <v>1.4612099999999999E-2</v>
      </c>
    </row>
    <row r="1274" spans="6:7" ht="15" x14ac:dyDescent="0.25">
      <c r="F1274" s="3" t="s">
        <v>1421</v>
      </c>
      <c r="G1274" s="3">
        <v>2.5858699999999998E-2</v>
      </c>
    </row>
    <row r="1275" spans="6:7" ht="15" x14ac:dyDescent="0.25">
      <c r="F1275" s="3" t="s">
        <v>1422</v>
      </c>
      <c r="G1275" s="3">
        <v>4.4662199999999999E-2</v>
      </c>
    </row>
    <row r="1276" spans="6:7" ht="15" x14ac:dyDescent="0.25">
      <c r="F1276" s="3" t="s">
        <v>1423</v>
      </c>
      <c r="G1276" s="3">
        <v>7.4932799999999994E-2</v>
      </c>
    </row>
    <row r="1277" spans="6:7" ht="15" x14ac:dyDescent="0.25">
      <c r="F1277" s="3" t="s">
        <v>1424</v>
      </c>
      <c r="G1277" s="3">
        <v>0.1213274</v>
      </c>
    </row>
    <row r="1278" spans="6:7" ht="15" x14ac:dyDescent="0.25">
      <c r="F1278" s="3" t="s">
        <v>1425</v>
      </c>
      <c r="G1278" s="3">
        <v>2.0665800000000002E-3</v>
      </c>
    </row>
    <row r="1279" spans="6:7" ht="15" x14ac:dyDescent="0.25">
      <c r="F1279" s="3" t="s">
        <v>1426</v>
      </c>
      <c r="G1279" s="3">
        <v>5.1123000000000002E-3</v>
      </c>
    </row>
    <row r="1280" spans="6:7" ht="15" x14ac:dyDescent="0.25">
      <c r="F1280" s="3" t="s">
        <v>1427</v>
      </c>
      <c r="G1280" s="3">
        <v>8.7173400000000005E-3</v>
      </c>
    </row>
    <row r="1281" spans="6:7" ht="15" x14ac:dyDescent="0.25">
      <c r="F1281" s="3" t="s">
        <v>1428</v>
      </c>
      <c r="G1281" s="3">
        <v>4.5383689999999997E-2</v>
      </c>
    </row>
    <row r="1282" spans="6:7" ht="15" x14ac:dyDescent="0.25">
      <c r="F1282" s="3" t="s">
        <v>1429</v>
      </c>
      <c r="G1282" s="3">
        <v>7.5605749999999999E-2</v>
      </c>
    </row>
    <row r="1283" spans="6:7" ht="15" x14ac:dyDescent="0.25">
      <c r="F1283" s="3" t="s">
        <v>1430</v>
      </c>
      <c r="G1283" s="3">
        <v>2.5858699999999998E-2</v>
      </c>
    </row>
    <row r="1284" spans="6:7" ht="15" x14ac:dyDescent="0.25">
      <c r="F1284" s="3" t="s">
        <v>1431</v>
      </c>
      <c r="G1284" s="3">
        <v>4.4662199999999999E-2</v>
      </c>
    </row>
    <row r="1285" spans="6:7" ht="15" x14ac:dyDescent="0.25">
      <c r="F1285" s="3" t="s">
        <v>1432</v>
      </c>
      <c r="G1285" s="3">
        <v>7.4932799999999994E-2</v>
      </c>
    </row>
    <row r="1286" spans="6:7" ht="15" x14ac:dyDescent="0.25">
      <c r="F1286" s="3" t="s">
        <v>1433</v>
      </c>
      <c r="G1286" s="3">
        <v>0.1213274</v>
      </c>
    </row>
    <row r="1287" spans="6:7" ht="15" x14ac:dyDescent="0.25">
      <c r="F1287" s="3" t="s">
        <v>1434</v>
      </c>
      <c r="G1287" s="3">
        <v>5.1500000000000005E-4</v>
      </c>
    </row>
    <row r="1288" spans="6:7" ht="15" x14ac:dyDescent="0.25">
      <c r="F1288" s="3" t="s">
        <v>1435</v>
      </c>
      <c r="G1288" s="3">
        <v>2.1246300000000002E-3</v>
      </c>
    </row>
    <row r="1289" spans="6:7" ht="15" x14ac:dyDescent="0.25">
      <c r="F1289" s="3" t="s">
        <v>1436</v>
      </c>
      <c r="G1289" s="3">
        <v>4.4445400000000003E-3</v>
      </c>
    </row>
    <row r="1290" spans="6:7" ht="15" x14ac:dyDescent="0.25">
      <c r="F1290" s="3" t="s">
        <v>1437</v>
      </c>
      <c r="G1290" s="3">
        <v>7.5560000000000002E-3</v>
      </c>
    </row>
    <row r="1291" spans="6:7" ht="15" x14ac:dyDescent="0.25">
      <c r="F1291" s="3" t="s">
        <v>1438</v>
      </c>
      <c r="G1291" s="3">
        <v>1.3210009999999999E-2</v>
      </c>
    </row>
    <row r="1292" spans="6:7" ht="15" x14ac:dyDescent="0.25">
      <c r="F1292" s="3" t="s">
        <v>1439</v>
      </c>
      <c r="G1292" s="3">
        <v>2.3749880000000001E-2</v>
      </c>
    </row>
    <row r="1293" spans="6:7" ht="15" x14ac:dyDescent="0.25">
      <c r="F1293" s="3" t="s">
        <v>1440</v>
      </c>
      <c r="G1293" s="3">
        <v>4.3910339999999999E-2</v>
      </c>
    </row>
    <row r="1294" spans="6:7" ht="15" x14ac:dyDescent="0.25">
      <c r="F1294" s="3" t="s">
        <v>1441</v>
      </c>
      <c r="G1294" s="3">
        <v>8.3487039999999998E-2</v>
      </c>
    </row>
    <row r="1295" spans="6:7" ht="15" x14ac:dyDescent="0.25">
      <c r="F1295" s="3" t="s">
        <v>1442</v>
      </c>
      <c r="G1295" s="3">
        <v>0.16323687000000001</v>
      </c>
    </row>
    <row r="1296" spans="6:7" ht="15" x14ac:dyDescent="0.25">
      <c r="F1296" s="3" t="s">
        <v>1443</v>
      </c>
      <c r="G1296" s="3">
        <v>0.25</v>
      </c>
    </row>
    <row r="1297" spans="6:7" ht="15" x14ac:dyDescent="0.25">
      <c r="F1297" s="3" t="s">
        <v>1444</v>
      </c>
      <c r="G1297" s="3">
        <v>0.35</v>
      </c>
    </row>
    <row r="1298" spans="6:7" ht="15" x14ac:dyDescent="0.25">
      <c r="F1298" s="3" t="s">
        <v>1445</v>
      </c>
      <c r="G1298" s="3">
        <v>1</v>
      </c>
    </row>
    <row r="1299" spans="6:7" ht="15" x14ac:dyDescent="0.25">
      <c r="F1299" s="3" t="s">
        <v>1446</v>
      </c>
      <c r="G1299" s="3">
        <v>1</v>
      </c>
    </row>
    <row r="1300" spans="6:7" ht="15" x14ac:dyDescent="0.25">
      <c r="F1300" s="3" t="s">
        <v>1447</v>
      </c>
      <c r="G1300" s="3">
        <v>1</v>
      </c>
    </row>
    <row r="1301" spans="6:7" ht="15" x14ac:dyDescent="0.25">
      <c r="F1301" s="3" t="s">
        <v>1448</v>
      </c>
      <c r="G1301" s="3">
        <v>0.16323687000000001</v>
      </c>
    </row>
    <row r="1302" spans="6:7" ht="15" x14ac:dyDescent="0.25">
      <c r="F1302" s="3" t="s">
        <v>1449</v>
      </c>
      <c r="G1302" s="3">
        <v>0.16323687000000001</v>
      </c>
    </row>
    <row r="1303" spans="6:7" ht="15" x14ac:dyDescent="0.25">
      <c r="F1303" s="3" t="s">
        <v>1450</v>
      </c>
      <c r="G1303" s="3">
        <v>1.03E-4</v>
      </c>
    </row>
    <row r="1304" spans="6:7" ht="15" x14ac:dyDescent="0.25">
      <c r="F1304" s="3" t="s">
        <v>1451</v>
      </c>
      <c r="G1304" s="3">
        <v>2.0599999999999999E-4</v>
      </c>
    </row>
    <row r="1305" spans="6:7" ht="15" x14ac:dyDescent="0.25">
      <c r="F1305" s="3" t="s">
        <v>1452</v>
      </c>
      <c r="G1305" s="3">
        <v>3.0899999999999998E-4</v>
      </c>
    </row>
    <row r="1306" spans="6:7" ht="15" x14ac:dyDescent="0.25">
      <c r="F1306" s="3" t="s">
        <v>1453</v>
      </c>
      <c r="G1306" s="3">
        <v>4.1199999999999999E-4</v>
      </c>
    </row>
    <row r="1307" spans="6:7" ht="15" x14ac:dyDescent="0.25">
      <c r="F1307" s="3" t="s">
        <v>1454</v>
      </c>
      <c r="G1307" s="3">
        <v>5.1500000000000005E-4</v>
      </c>
    </row>
    <row r="1308" spans="6:7" ht="15" x14ac:dyDescent="0.25">
      <c r="F1308" s="3" t="s">
        <v>1455</v>
      </c>
      <c r="G1308" s="3">
        <v>6.2074999999999999E-4</v>
      </c>
    </row>
    <row r="1309" spans="6:7" ht="15" x14ac:dyDescent="0.25">
      <c r="F1309" s="3" t="s">
        <v>1456</v>
      </c>
      <c r="G1309" s="3">
        <v>9.1759000000000003E-4</v>
      </c>
    </row>
    <row r="1310" spans="6:7" ht="15" x14ac:dyDescent="0.25">
      <c r="F1310" s="3" t="s">
        <v>1457</v>
      </c>
      <c r="G1310" s="3">
        <v>1.3948400000000001E-3</v>
      </c>
    </row>
    <row r="1311" spans="6:7" ht="15" x14ac:dyDescent="0.25">
      <c r="F1311" s="3" t="s">
        <v>1458</v>
      </c>
      <c r="G1311" s="3">
        <v>2.1246300000000002E-3</v>
      </c>
    </row>
    <row r="1312" spans="6:7" ht="15" x14ac:dyDescent="0.25">
      <c r="F1312" s="3" t="s">
        <v>1459</v>
      </c>
      <c r="G1312" s="3">
        <v>3.07018E-3</v>
      </c>
    </row>
    <row r="1313" spans="6:7" ht="15" x14ac:dyDescent="0.25">
      <c r="F1313" s="3" t="s">
        <v>1460</v>
      </c>
      <c r="G1313" s="3">
        <v>4.4445400000000003E-3</v>
      </c>
    </row>
    <row r="1314" spans="6:7" ht="15" x14ac:dyDescent="0.25">
      <c r="F1314" s="3" t="s">
        <v>1461</v>
      </c>
      <c r="G1314" s="3">
        <v>7.5560000000000002E-3</v>
      </c>
    </row>
    <row r="1315" spans="6:7" ht="15" x14ac:dyDescent="0.25">
      <c r="F1315" s="3" t="s">
        <v>1462</v>
      </c>
      <c r="G1315" s="3">
        <v>1.3210009999999999E-2</v>
      </c>
    </row>
    <row r="1316" spans="6:7" ht="15" x14ac:dyDescent="0.25">
      <c r="F1316" s="3" t="s">
        <v>1463</v>
      </c>
      <c r="G1316" s="3">
        <v>2.3749880000000001E-2</v>
      </c>
    </row>
    <row r="1317" spans="6:7" ht="15" x14ac:dyDescent="0.25">
      <c r="F1317" s="3" t="s">
        <v>1464</v>
      </c>
      <c r="G1317" s="3">
        <v>2.0599999999999999E-4</v>
      </c>
    </row>
    <row r="1318" spans="6:7" ht="15" x14ac:dyDescent="0.25">
      <c r="F1318" s="3" t="s">
        <v>1465</v>
      </c>
      <c r="G1318" s="3">
        <v>2.4203700000000002E-2</v>
      </c>
    </row>
    <row r="1319" spans="6:7" ht="15" x14ac:dyDescent="0.25">
      <c r="F1319" s="3" t="s">
        <v>1466</v>
      </c>
      <c r="G1319" s="3">
        <v>1.3948400000000001E-3</v>
      </c>
    </row>
    <row r="1320" spans="6:7" ht="15" x14ac:dyDescent="0.25">
      <c r="F1320" s="3" t="s">
        <v>1467</v>
      </c>
      <c r="G1320" s="3">
        <v>0.13351089999999999</v>
      </c>
    </row>
    <row r="1321" spans="6:7" ht="15" x14ac:dyDescent="0.25">
      <c r="F1321" s="3" t="s">
        <v>1468</v>
      </c>
      <c r="G1321" s="3">
        <v>2.1246300000000002E-3</v>
      </c>
    </row>
    <row r="1322" spans="6:7" ht="15" x14ac:dyDescent="0.25">
      <c r="F1322" s="3" t="s">
        <v>1469</v>
      </c>
      <c r="G1322" s="3">
        <v>3.1943000000000002E-3</v>
      </c>
    </row>
    <row r="1323" spans="6:7" ht="15" x14ac:dyDescent="0.25">
      <c r="F1323" s="3" t="s">
        <v>1470</v>
      </c>
      <c r="G1323" s="3">
        <v>3.0899999999999998E-4</v>
      </c>
    </row>
    <row r="1324" spans="6:7" ht="15" x14ac:dyDescent="0.25">
      <c r="F1324" s="3" t="s">
        <v>1471</v>
      </c>
      <c r="G1324" s="3">
        <v>0.25</v>
      </c>
    </row>
    <row r="1325" spans="6:7" ht="15" x14ac:dyDescent="0.25">
      <c r="F1325" s="3" t="s">
        <v>1472</v>
      </c>
      <c r="G1325" s="3">
        <v>8.3491750000000003E-2</v>
      </c>
    </row>
    <row r="1326" spans="6:7" ht="15" x14ac:dyDescent="0.25">
      <c r="F1326" s="3" t="s">
        <v>1473</v>
      </c>
      <c r="G1326" s="3">
        <v>0.16323687000000001</v>
      </c>
    </row>
    <row r="1327" spans="6:7" ht="15" x14ac:dyDescent="0.25">
      <c r="F1327" s="3" t="s">
        <v>1474</v>
      </c>
      <c r="G1327" s="3">
        <v>0.35</v>
      </c>
    </row>
    <row r="1328" spans="6:7" ht="15" x14ac:dyDescent="0.25">
      <c r="F1328" s="3" t="s">
        <v>1475</v>
      </c>
      <c r="G1328" s="3">
        <v>0.16323687000000001</v>
      </c>
    </row>
    <row r="1329" spans="6:7" ht="15" x14ac:dyDescent="0.25">
      <c r="F1329" s="3" t="s">
        <v>1476</v>
      </c>
      <c r="G1329" s="3">
        <v>8.3491750000000003E-2</v>
      </c>
    </row>
    <row r="1330" spans="6:7" ht="15" x14ac:dyDescent="0.25">
      <c r="F1330" s="3" t="s">
        <v>1477</v>
      </c>
      <c r="G1330" s="3">
        <v>8.3491750000000003E-2</v>
      </c>
    </row>
    <row r="1331" spans="6:7" ht="15" x14ac:dyDescent="0.25">
      <c r="F1331" s="3" t="s">
        <v>1478</v>
      </c>
      <c r="G1331" s="3">
        <v>0.16323687000000001</v>
      </c>
    </row>
    <row r="1332" spans="6:7" ht="15" x14ac:dyDescent="0.25">
      <c r="F1332" s="3" t="s">
        <v>1479</v>
      </c>
      <c r="G1332" s="3">
        <v>0.16323687000000001</v>
      </c>
    </row>
    <row r="1333" spans="6:7" ht="15" x14ac:dyDescent="0.25">
      <c r="F1333" s="3" t="s">
        <v>1480</v>
      </c>
      <c r="G1333" s="3">
        <v>0.16323687000000001</v>
      </c>
    </row>
    <row r="1334" spans="6:7" ht="15" x14ac:dyDescent="0.25">
      <c r="F1334" s="3" t="s">
        <v>1481</v>
      </c>
      <c r="G1334" s="3">
        <v>0.16323687000000001</v>
      </c>
    </row>
    <row r="1335" spans="6:7" ht="15" x14ac:dyDescent="0.25">
      <c r="F1335" s="3" t="s">
        <v>1482</v>
      </c>
      <c r="G1335" s="3">
        <v>0.16323687000000001</v>
      </c>
    </row>
    <row r="1336" spans="6:7" ht="15" x14ac:dyDescent="0.25">
      <c r="F1336" s="3" t="s">
        <v>1483</v>
      </c>
      <c r="G1336" s="3">
        <v>0.35</v>
      </c>
    </row>
    <row r="1337" spans="6:7" ht="15" x14ac:dyDescent="0.25">
      <c r="F1337" s="3" t="s">
        <v>1484</v>
      </c>
      <c r="G1337" s="3">
        <v>1</v>
      </c>
    </row>
    <row r="1338" spans="6:7" ht="15" x14ac:dyDescent="0.25">
      <c r="F1338" s="3" t="s">
        <v>1485</v>
      </c>
      <c r="G1338" s="3">
        <v>1</v>
      </c>
    </row>
    <row r="1339" spans="6:7" ht="15" x14ac:dyDescent="0.25">
      <c r="F1339" s="3" t="s">
        <v>1486</v>
      </c>
      <c r="G1339" s="3">
        <v>1</v>
      </c>
    </row>
    <row r="1340" spans="6:7" ht="15" x14ac:dyDescent="0.25">
      <c r="F1340" s="3" t="s">
        <v>1487</v>
      </c>
      <c r="G1340" s="3">
        <v>0.16323687000000001</v>
      </c>
    </row>
    <row r="1341" spans="6:7" ht="15" x14ac:dyDescent="0.25">
      <c r="F1341" s="3" t="s">
        <v>1488</v>
      </c>
      <c r="G1341" s="3">
        <v>1</v>
      </c>
    </row>
    <row r="1342" spans="6:7" ht="15" x14ac:dyDescent="0.25">
      <c r="F1342" s="3" t="s">
        <v>1489</v>
      </c>
      <c r="G1342" s="3">
        <v>1</v>
      </c>
    </row>
    <row r="1343" spans="6:7" ht="15" x14ac:dyDescent="0.25">
      <c r="F1343" s="3" t="s">
        <v>1490</v>
      </c>
      <c r="G1343" s="3">
        <v>1</v>
      </c>
    </row>
    <row r="1344" spans="6:7" ht="15" x14ac:dyDescent="0.25">
      <c r="F1344" s="3" t="s">
        <v>1491</v>
      </c>
      <c r="G1344" s="3">
        <v>1</v>
      </c>
    </row>
    <row r="1345" spans="6:7" ht="15" x14ac:dyDescent="0.25">
      <c r="F1345" s="3" t="s">
        <v>1492</v>
      </c>
      <c r="G1345" s="3">
        <v>1</v>
      </c>
    </row>
    <row r="1346" spans="6:7" ht="15" x14ac:dyDescent="0.25">
      <c r="F1346" s="3" t="s">
        <v>1493</v>
      </c>
      <c r="G1346" s="3">
        <v>0.16323687000000001</v>
      </c>
    </row>
    <row r="1347" spans="6:7" ht="15" x14ac:dyDescent="0.25">
      <c r="F1347" s="3" t="s">
        <v>1494</v>
      </c>
      <c r="G1347" s="3">
        <v>0.16323687000000001</v>
      </c>
    </row>
    <row r="1348" spans="6:7" ht="15" x14ac:dyDescent="0.25">
      <c r="F1348" s="3" t="s">
        <v>1495</v>
      </c>
      <c r="G1348" s="3">
        <v>0.16323687000000001</v>
      </c>
    </row>
    <row r="1349" spans="6:7" ht="15" x14ac:dyDescent="0.25">
      <c r="F1349" s="3" t="s">
        <v>1496</v>
      </c>
      <c r="G1349" s="3">
        <v>0.25</v>
      </c>
    </row>
    <row r="1350" spans="6:7" ht="15" x14ac:dyDescent="0.25">
      <c r="F1350" s="3" t="s">
        <v>1497</v>
      </c>
      <c r="G1350" s="3">
        <v>0.16323687000000001</v>
      </c>
    </row>
    <row r="1351" spans="6:7" ht="15" x14ac:dyDescent="0.25">
      <c r="F1351" s="3" t="s">
        <v>1498</v>
      </c>
      <c r="G1351" s="3">
        <v>0.25</v>
      </c>
    </row>
    <row r="1352" spans="6:7" ht="15" x14ac:dyDescent="0.25">
      <c r="F1352" s="3" t="s">
        <v>1499</v>
      </c>
      <c r="G1352" s="3">
        <v>0.35</v>
      </c>
    </row>
    <row r="1353" spans="6:7" ht="15" x14ac:dyDescent="0.25">
      <c r="F1353" s="3" t="s">
        <v>1500</v>
      </c>
      <c r="G1353" s="3">
        <v>0.16323687000000001</v>
      </c>
    </row>
    <row r="1354" spans="6:7" ht="15" x14ac:dyDescent="0.25">
      <c r="F1354" s="3" t="s">
        <v>1501</v>
      </c>
      <c r="G1354" s="3">
        <v>0.16323687000000001</v>
      </c>
    </row>
    <row r="1355" spans="6:7" ht="15" x14ac:dyDescent="0.25">
      <c r="F1355" s="3" t="s">
        <v>1502</v>
      </c>
      <c r="G1355" s="3">
        <v>8.3491750000000003E-2</v>
      </c>
    </row>
    <row r="1356" spans="6:7" ht="15" x14ac:dyDescent="0.25">
      <c r="F1356" s="3" t="s">
        <v>1503</v>
      </c>
      <c r="G1356" s="3">
        <v>0.16323687000000001</v>
      </c>
    </row>
    <row r="1357" spans="6:7" ht="15" x14ac:dyDescent="0.25">
      <c r="F1357" s="3" t="s">
        <v>1504</v>
      </c>
      <c r="G1357" s="3">
        <v>8.3491750000000003E-2</v>
      </c>
    </row>
    <row r="1358" spans="6:7" ht="15" x14ac:dyDescent="0.25">
      <c r="F1358" s="3" t="s">
        <v>1505</v>
      </c>
      <c r="G1358" s="3">
        <v>0.16323687000000001</v>
      </c>
    </row>
    <row r="1359" spans="6:7" ht="15" x14ac:dyDescent="0.25">
      <c r="F1359" s="3" t="s">
        <v>1506</v>
      </c>
      <c r="G1359" s="3">
        <v>8.3491750000000003E-2</v>
      </c>
    </row>
    <row r="1360" spans="6:7" ht="15" x14ac:dyDescent="0.25">
      <c r="F1360" s="3" t="s">
        <v>1507</v>
      </c>
      <c r="G1360" s="3">
        <v>8.3491750000000003E-2</v>
      </c>
    </row>
    <row r="1361" spans="6:7" ht="15" x14ac:dyDescent="0.25">
      <c r="F1361" s="3" t="s">
        <v>1508</v>
      </c>
      <c r="G1361" s="3">
        <v>8.3491750000000003E-2</v>
      </c>
    </row>
    <row r="1362" spans="6:7" ht="15" x14ac:dyDescent="0.25">
      <c r="F1362" s="3" t="s">
        <v>1509</v>
      </c>
      <c r="G1362" s="3">
        <v>0.16323687000000001</v>
      </c>
    </row>
    <row r="1363" spans="6:7" ht="15" x14ac:dyDescent="0.25">
      <c r="F1363" s="3" t="s">
        <v>1510</v>
      </c>
      <c r="G1363" s="3">
        <v>8.3491750000000003E-2</v>
      </c>
    </row>
    <row r="1364" spans="6:7" ht="15" x14ac:dyDescent="0.25">
      <c r="F1364" s="3" t="s">
        <v>1511</v>
      </c>
      <c r="G1364" s="3">
        <v>8.3491750000000003E-2</v>
      </c>
    </row>
    <row r="1365" spans="6:7" ht="15" x14ac:dyDescent="0.25">
      <c r="F1365" s="3" t="s">
        <v>1512</v>
      </c>
      <c r="G1365" s="3">
        <v>8.3491750000000003E-2</v>
      </c>
    </row>
    <row r="1366" spans="6:7" ht="15" x14ac:dyDescent="0.25">
      <c r="F1366" s="3" t="s">
        <v>1513</v>
      </c>
      <c r="G1366" s="3">
        <v>0.16323687000000001</v>
      </c>
    </row>
    <row r="1367" spans="6:7" ht="15" x14ac:dyDescent="0.25">
      <c r="F1367" s="3" t="s">
        <v>1514</v>
      </c>
      <c r="G1367" s="3">
        <v>0.16323687000000001</v>
      </c>
    </row>
    <row r="1368" spans="6:7" ht="15" x14ac:dyDescent="0.25">
      <c r="F1368" s="3" t="s">
        <v>1515</v>
      </c>
      <c r="G1368" s="3">
        <v>8.3491750000000003E-2</v>
      </c>
    </row>
    <row r="1369" spans="6:7" ht="15" x14ac:dyDescent="0.25">
      <c r="F1369" s="3" t="s">
        <v>1516</v>
      </c>
      <c r="G1369" s="3">
        <v>1</v>
      </c>
    </row>
    <row r="1370" spans="6:7" ht="15" x14ac:dyDescent="0.25">
      <c r="F1370" s="3" t="s">
        <v>1517</v>
      </c>
      <c r="G1370" s="3">
        <v>0.16323687000000001</v>
      </c>
    </row>
    <row r="1371" spans="6:7" ht="15" x14ac:dyDescent="0.25">
      <c r="F1371" s="3" t="s">
        <v>1518</v>
      </c>
      <c r="G1371" s="3">
        <v>8.3491750000000003E-2</v>
      </c>
    </row>
    <row r="1372" spans="6:7" ht="15" x14ac:dyDescent="0.25">
      <c r="F1372" s="3" t="s">
        <v>1519</v>
      </c>
      <c r="G1372" s="3">
        <v>8.3491750000000003E-2</v>
      </c>
    </row>
    <row r="1373" spans="6:7" ht="15" x14ac:dyDescent="0.25">
      <c r="F1373" s="3" t="s">
        <v>1520</v>
      </c>
      <c r="G1373" s="3">
        <v>8.3491750000000003E-2</v>
      </c>
    </row>
    <row r="1374" spans="6:7" ht="15" x14ac:dyDescent="0.25">
      <c r="F1374" s="3" t="s">
        <v>1521</v>
      </c>
      <c r="G1374" s="3">
        <v>1</v>
      </c>
    </row>
    <row r="1375" spans="6:7" ht="15" x14ac:dyDescent="0.25">
      <c r="F1375" s="3" t="s">
        <v>1522</v>
      </c>
      <c r="G1375" s="3">
        <v>0.16323687000000001</v>
      </c>
    </row>
    <row r="1376" spans="6:7" ht="15" x14ac:dyDescent="0.25">
      <c r="F1376" s="3" t="s">
        <v>1523</v>
      </c>
      <c r="G1376" s="3">
        <v>8.3491750000000003E-2</v>
      </c>
    </row>
    <row r="1377" spans="6:7" ht="15" x14ac:dyDescent="0.25">
      <c r="F1377" s="3" t="s">
        <v>1524</v>
      </c>
      <c r="G1377" s="3">
        <v>0.16323687000000001</v>
      </c>
    </row>
    <row r="1378" spans="6:7" ht="15" x14ac:dyDescent="0.25">
      <c r="F1378" s="3" t="s">
        <v>1525</v>
      </c>
      <c r="G1378" s="3">
        <v>0.16323687000000001</v>
      </c>
    </row>
    <row r="1379" spans="6:7" ht="15" x14ac:dyDescent="0.25">
      <c r="F1379" s="3" t="s">
        <v>1526</v>
      </c>
      <c r="G1379" s="3">
        <v>0.16323687000000001</v>
      </c>
    </row>
    <row r="1380" spans="6:7" ht="15" x14ac:dyDescent="0.25">
      <c r="F1380" s="3" t="s">
        <v>1527</v>
      </c>
      <c r="G1380" s="3">
        <v>0.16114834</v>
      </c>
    </row>
    <row r="1381" spans="6:7" ht="15" x14ac:dyDescent="0.25">
      <c r="F1381" s="3" t="s">
        <v>1528</v>
      </c>
      <c r="G1381" s="3">
        <v>0.16323687000000001</v>
      </c>
    </row>
    <row r="1382" spans="6:7" ht="15" x14ac:dyDescent="0.25">
      <c r="F1382" s="3" t="s">
        <v>1529</v>
      </c>
      <c r="G1382" s="3">
        <v>0.16323687000000001</v>
      </c>
    </row>
    <row r="1383" spans="6:7" ht="15" x14ac:dyDescent="0.25">
      <c r="F1383" s="3" t="s">
        <v>1530</v>
      </c>
      <c r="G1383" s="3">
        <v>0.16323687000000001</v>
      </c>
    </row>
    <row r="1384" spans="6:7" ht="15" x14ac:dyDescent="0.25">
      <c r="F1384" s="3" t="s">
        <v>1531</v>
      </c>
      <c r="G1384" s="3">
        <v>0.16323687000000001</v>
      </c>
    </row>
    <row r="1385" spans="6:7" ht="15" x14ac:dyDescent="0.25">
      <c r="F1385" s="3" t="s">
        <v>1532</v>
      </c>
      <c r="G1385" s="3">
        <v>0.14282465</v>
      </c>
    </row>
    <row r="1386" spans="6:7" ht="15" x14ac:dyDescent="0.25">
      <c r="F1386" s="3" t="s">
        <v>1533</v>
      </c>
      <c r="G1386" s="3">
        <v>1</v>
      </c>
    </row>
    <row r="1387" spans="6:7" ht="15" x14ac:dyDescent="0.25">
      <c r="F1387" s="3" t="s">
        <v>1534</v>
      </c>
      <c r="G1387" s="3">
        <v>0.16323687000000001</v>
      </c>
    </row>
    <row r="1388" spans="6:7" ht="15" x14ac:dyDescent="0.25">
      <c r="F1388" s="3" t="s">
        <v>1535</v>
      </c>
      <c r="G1388" s="3">
        <v>0.16323687000000001</v>
      </c>
    </row>
    <row r="1389" spans="6:7" ht="15" x14ac:dyDescent="0.25">
      <c r="F1389" s="3" t="s">
        <v>1536</v>
      </c>
      <c r="G1389" s="3">
        <v>0.16323687000000001</v>
      </c>
    </row>
    <row r="1390" spans="6:7" ht="15" x14ac:dyDescent="0.25">
      <c r="F1390" s="3" t="s">
        <v>1537</v>
      </c>
      <c r="G1390" s="3">
        <v>1</v>
      </c>
    </row>
    <row r="1391" spans="6:7" ht="15" x14ac:dyDescent="0.25">
      <c r="F1391" s="3" t="s">
        <v>1538</v>
      </c>
      <c r="G1391" s="3">
        <v>8.3491750000000003E-2</v>
      </c>
    </row>
    <row r="1392" spans="6:7" ht="15" x14ac:dyDescent="0.25">
      <c r="F1392" s="3" t="s">
        <v>1539</v>
      </c>
      <c r="G1392" s="3">
        <v>0.16323687000000001</v>
      </c>
    </row>
    <row r="1393" spans="6:7" ht="15" x14ac:dyDescent="0.25">
      <c r="F1393" s="3" t="s">
        <v>1540</v>
      </c>
      <c r="G1393" s="3">
        <v>0.16323687000000001</v>
      </c>
    </row>
    <row r="1394" spans="6:7" ht="15" x14ac:dyDescent="0.25">
      <c r="F1394" s="3" t="s">
        <v>1541</v>
      </c>
      <c r="G1394" s="3">
        <v>0.16323687000000001</v>
      </c>
    </row>
    <row r="1395" spans="6:7" ht="15" x14ac:dyDescent="0.25">
      <c r="F1395" s="3" t="s">
        <v>1542</v>
      </c>
      <c r="G1395" s="3">
        <v>0.16323687000000001</v>
      </c>
    </row>
    <row r="1396" spans="6:7" ht="15" x14ac:dyDescent="0.25">
      <c r="F1396" s="3" t="s">
        <v>1543</v>
      </c>
      <c r="G1396" s="3">
        <v>0.16323687000000001</v>
      </c>
    </row>
    <row r="1397" spans="6:7" ht="15" x14ac:dyDescent="0.25">
      <c r="F1397" s="3" t="s">
        <v>1544</v>
      </c>
      <c r="G1397" s="3">
        <v>0.16323687000000001</v>
      </c>
    </row>
    <row r="1398" spans="6:7" ht="15" x14ac:dyDescent="0.25">
      <c r="F1398" s="3" t="s">
        <v>1545</v>
      </c>
      <c r="G1398" s="3">
        <v>0.16323687000000001</v>
      </c>
    </row>
    <row r="1399" spans="6:7" ht="15" x14ac:dyDescent="0.25">
      <c r="F1399" s="3" t="s">
        <v>1546</v>
      </c>
      <c r="G1399" s="3">
        <v>0.16323687000000001</v>
      </c>
    </row>
    <row r="1400" spans="6:7" ht="15" x14ac:dyDescent="0.25">
      <c r="F1400" s="3" t="s">
        <v>1547</v>
      </c>
      <c r="G1400" s="3">
        <v>0.16323687000000001</v>
      </c>
    </row>
    <row r="1401" spans="6:7" ht="15" x14ac:dyDescent="0.25">
      <c r="F1401" s="3" t="s">
        <v>1548</v>
      </c>
      <c r="G1401" s="3">
        <v>0.16323687000000001</v>
      </c>
    </row>
    <row r="1402" spans="6:7" ht="15" x14ac:dyDescent="0.25">
      <c r="F1402" s="3" t="s">
        <v>1549</v>
      </c>
      <c r="G1402" s="3">
        <v>0.16323687000000001</v>
      </c>
    </row>
    <row r="1403" spans="6:7" ht="15" x14ac:dyDescent="0.25">
      <c r="F1403" s="3" t="s">
        <v>1550</v>
      </c>
      <c r="G1403" s="3">
        <v>0.16323687000000001</v>
      </c>
    </row>
    <row r="1404" spans="6:7" ht="15" x14ac:dyDescent="0.25">
      <c r="F1404" s="3" t="s">
        <v>1551</v>
      </c>
      <c r="G1404" s="3">
        <v>0.16323687000000001</v>
      </c>
    </row>
    <row r="1405" spans="6:7" ht="15" x14ac:dyDescent="0.25">
      <c r="F1405" s="3" t="s">
        <v>1552</v>
      </c>
      <c r="G1405" s="3">
        <v>0.16323687000000001</v>
      </c>
    </row>
    <row r="1406" spans="6:7" ht="15" x14ac:dyDescent="0.25">
      <c r="F1406" s="3" t="s">
        <v>1553</v>
      </c>
      <c r="G1406" s="3">
        <v>0.16323687000000001</v>
      </c>
    </row>
    <row r="1407" spans="6:7" ht="15" x14ac:dyDescent="0.25">
      <c r="F1407" s="3" t="s">
        <v>1554</v>
      </c>
      <c r="G1407" s="3">
        <v>0.16323687000000001</v>
      </c>
    </row>
    <row r="1408" spans="6:7" ht="15" x14ac:dyDescent="0.25">
      <c r="F1408" s="3" t="s">
        <v>1555</v>
      </c>
      <c r="G1408" s="3">
        <v>0.16323687000000001</v>
      </c>
    </row>
    <row r="1409" spans="6:7" ht="15" x14ac:dyDescent="0.25">
      <c r="F1409" s="3" t="s">
        <v>1556</v>
      </c>
      <c r="G1409" s="3">
        <v>0.16323687000000001</v>
      </c>
    </row>
    <row r="1410" spans="6:7" ht="15" x14ac:dyDescent="0.25">
      <c r="F1410" s="3" t="s">
        <v>1557</v>
      </c>
      <c r="G1410" s="3">
        <v>0.16323687000000001</v>
      </c>
    </row>
    <row r="1411" spans="6:7" ht="15" x14ac:dyDescent="0.25">
      <c r="F1411" s="3" t="s">
        <v>1558</v>
      </c>
      <c r="G1411" s="3">
        <v>0.16323687000000001</v>
      </c>
    </row>
    <row r="1412" spans="6:7" ht="15" x14ac:dyDescent="0.25">
      <c r="F1412" s="3" t="s">
        <v>1559</v>
      </c>
      <c r="G1412" s="3">
        <v>0.16323687000000001</v>
      </c>
    </row>
    <row r="1413" spans="6:7" ht="15" x14ac:dyDescent="0.25">
      <c r="F1413" s="3" t="s">
        <v>1560</v>
      </c>
      <c r="G1413" s="3">
        <v>0.16323687000000001</v>
      </c>
    </row>
    <row r="1414" spans="6:7" ht="15" x14ac:dyDescent="0.25">
      <c r="F1414" s="3" t="s">
        <v>1561</v>
      </c>
      <c r="G1414" s="3">
        <v>0.25</v>
      </c>
    </row>
    <row r="1415" spans="6:7" ht="15" x14ac:dyDescent="0.25">
      <c r="F1415" s="3" t="s">
        <v>1562</v>
      </c>
      <c r="G1415" s="3">
        <v>0.16323687000000001</v>
      </c>
    </row>
    <row r="1416" spans="6:7" ht="15" x14ac:dyDescent="0.25">
      <c r="F1416" s="3" t="s">
        <v>1563</v>
      </c>
      <c r="G1416" s="3">
        <v>0.16323687000000001</v>
      </c>
    </row>
    <row r="1417" spans="6:7" ht="15" x14ac:dyDescent="0.25">
      <c r="F1417" s="3" t="s">
        <v>1564</v>
      </c>
      <c r="G1417" s="3">
        <v>0.16323687000000001</v>
      </c>
    </row>
    <row r="1418" spans="6:7" ht="15" x14ac:dyDescent="0.25">
      <c r="F1418" s="3" t="s">
        <v>1565</v>
      </c>
      <c r="G1418" s="3">
        <v>0.16323687000000001</v>
      </c>
    </row>
    <row r="1419" spans="6:7" ht="15" x14ac:dyDescent="0.25">
      <c r="F1419" s="3" t="s">
        <v>1566</v>
      </c>
      <c r="G1419" s="3">
        <v>0.16323687000000001</v>
      </c>
    </row>
    <row r="1420" spans="6:7" ht="15" x14ac:dyDescent="0.25">
      <c r="F1420" s="3" t="s">
        <v>1567</v>
      </c>
      <c r="G1420" s="3">
        <v>1</v>
      </c>
    </row>
    <row r="1421" spans="6:7" ht="15" x14ac:dyDescent="0.25">
      <c r="F1421" s="3" t="s">
        <v>1568</v>
      </c>
      <c r="G1421" s="3">
        <v>1</v>
      </c>
    </row>
    <row r="1422" spans="6:7" ht="15" x14ac:dyDescent="0.25">
      <c r="F1422" s="3" t="s">
        <v>1569</v>
      </c>
      <c r="G1422" s="3">
        <v>1</v>
      </c>
    </row>
    <row r="1423" spans="6:7" ht="15" x14ac:dyDescent="0.25">
      <c r="F1423" s="3" t="s">
        <v>1570</v>
      </c>
      <c r="G1423" s="3">
        <v>0.16323687000000001</v>
      </c>
    </row>
    <row r="1424" spans="6:7" ht="15" x14ac:dyDescent="0.25">
      <c r="F1424" s="3" t="s">
        <v>1571</v>
      </c>
      <c r="G1424" s="3">
        <v>0.16323687000000001</v>
      </c>
    </row>
    <row r="1425" spans="6:7" ht="15" x14ac:dyDescent="0.25">
      <c r="F1425" s="3" t="s">
        <v>1572</v>
      </c>
      <c r="G1425" s="3">
        <v>0.16323687000000001</v>
      </c>
    </row>
    <row r="1426" spans="6:7" ht="15" x14ac:dyDescent="0.25">
      <c r="F1426" s="3" t="s">
        <v>1573</v>
      </c>
      <c r="G1426" s="3">
        <v>0.16323687000000001</v>
      </c>
    </row>
    <row r="1427" spans="6:7" ht="15" x14ac:dyDescent="0.25">
      <c r="F1427" s="3" t="s">
        <v>1574</v>
      </c>
      <c r="G1427" s="3">
        <v>0.16323687000000001</v>
      </c>
    </row>
    <row r="1428" spans="6:7" ht="15" x14ac:dyDescent="0.25">
      <c r="F1428" s="3" t="s">
        <v>1575</v>
      </c>
      <c r="G1428" s="3">
        <v>0.16323687000000001</v>
      </c>
    </row>
    <row r="1429" spans="6:7" ht="15" x14ac:dyDescent="0.25">
      <c r="F1429" s="3" t="s">
        <v>1576</v>
      </c>
      <c r="G1429" s="3">
        <v>0.16323687000000001</v>
      </c>
    </row>
    <row r="1430" spans="6:7" ht="15" x14ac:dyDescent="0.25">
      <c r="F1430" s="3" t="s">
        <v>1577</v>
      </c>
      <c r="G1430" s="3">
        <v>0.16323687000000001</v>
      </c>
    </row>
    <row r="1431" spans="6:7" ht="15" x14ac:dyDescent="0.25">
      <c r="F1431" s="3" t="s">
        <v>1578</v>
      </c>
      <c r="G1431" s="3">
        <v>0.16323687000000001</v>
      </c>
    </row>
    <row r="1432" spans="6:7" ht="15" x14ac:dyDescent="0.25">
      <c r="F1432" s="3" t="s">
        <v>1579</v>
      </c>
      <c r="G1432" s="3">
        <v>0.16323687000000001</v>
      </c>
    </row>
    <row r="1433" spans="6:7" ht="15" x14ac:dyDescent="0.25">
      <c r="F1433" s="3" t="s">
        <v>1580</v>
      </c>
      <c r="G1433" s="3">
        <v>0.16323687000000001</v>
      </c>
    </row>
    <row r="1434" spans="6:7" ht="15" x14ac:dyDescent="0.25">
      <c r="F1434" s="3" t="s">
        <v>1581</v>
      </c>
      <c r="G1434" s="3">
        <v>0.16323687000000001</v>
      </c>
    </row>
    <row r="1435" spans="6:7" ht="15" x14ac:dyDescent="0.25">
      <c r="F1435" s="3" t="s">
        <v>1582</v>
      </c>
      <c r="G1435" s="3">
        <v>0.25</v>
      </c>
    </row>
    <row r="1436" spans="6:7" ht="15" x14ac:dyDescent="0.25">
      <c r="F1436" s="3" t="s">
        <v>1583</v>
      </c>
      <c r="G1436" s="3">
        <v>0.16323687000000001</v>
      </c>
    </row>
    <row r="1437" spans="6:7" ht="15" x14ac:dyDescent="0.25">
      <c r="F1437" s="3" t="s">
        <v>1584</v>
      </c>
      <c r="G1437" s="3">
        <v>1</v>
      </c>
    </row>
    <row r="1438" spans="6:7" ht="15" x14ac:dyDescent="0.25">
      <c r="F1438" s="3" t="s">
        <v>1585</v>
      </c>
      <c r="G1438" s="3">
        <v>1</v>
      </c>
    </row>
    <row r="1439" spans="6:7" ht="15" x14ac:dyDescent="0.25">
      <c r="F1439" s="3" t="s">
        <v>1586</v>
      </c>
      <c r="G1439" s="3">
        <v>0.35</v>
      </c>
    </row>
    <row r="1440" spans="6:7" ht="15" x14ac:dyDescent="0.25">
      <c r="F1440" s="3" t="s">
        <v>1587</v>
      </c>
      <c r="G1440" s="3">
        <v>0.35</v>
      </c>
    </row>
    <row r="1441" spans="6:7" ht="15" x14ac:dyDescent="0.25">
      <c r="F1441" s="3" t="s">
        <v>1588</v>
      </c>
      <c r="G1441" s="3">
        <v>0.16323687000000001</v>
      </c>
    </row>
    <row r="1442" spans="6:7" ht="15" x14ac:dyDescent="0.25">
      <c r="F1442" s="3" t="s">
        <v>1589</v>
      </c>
      <c r="G1442" s="3">
        <v>0.16323687000000001</v>
      </c>
    </row>
    <row r="1443" spans="6:7" ht="15" x14ac:dyDescent="0.25">
      <c r="F1443" s="3" t="s">
        <v>1590</v>
      </c>
      <c r="G1443" s="3">
        <v>1</v>
      </c>
    </row>
    <row r="1444" spans="6:7" ht="15" x14ac:dyDescent="0.25">
      <c r="F1444" s="3" t="s">
        <v>1591</v>
      </c>
      <c r="G1444" s="3">
        <v>0.16323687000000001</v>
      </c>
    </row>
    <row r="1445" spans="6:7" ht="15" x14ac:dyDescent="0.25">
      <c r="F1445" s="3" t="s">
        <v>1592</v>
      </c>
      <c r="G1445" s="3">
        <v>0.16323687000000001</v>
      </c>
    </row>
    <row r="1446" spans="6:7" ht="15" x14ac:dyDescent="0.25">
      <c r="F1446" s="3" t="s">
        <v>1593</v>
      </c>
      <c r="G1446" s="3">
        <v>0.16323687000000001</v>
      </c>
    </row>
    <row r="1447" spans="6:7" ht="15" x14ac:dyDescent="0.25">
      <c r="F1447" s="3" t="s">
        <v>1594</v>
      </c>
      <c r="G1447" s="3">
        <v>0.16323687000000001</v>
      </c>
    </row>
    <row r="1448" spans="6:7" ht="15" x14ac:dyDescent="0.25">
      <c r="F1448" s="3" t="s">
        <v>1595</v>
      </c>
      <c r="G1448" s="3">
        <v>0.16323687000000001</v>
      </c>
    </row>
    <row r="1449" spans="6:7" ht="15" x14ac:dyDescent="0.25">
      <c r="F1449" s="3" t="s">
        <v>1596</v>
      </c>
      <c r="G1449" s="3">
        <v>0.16323687000000001</v>
      </c>
    </row>
    <row r="1450" spans="6:7" ht="15" x14ac:dyDescent="0.25">
      <c r="F1450" s="3" t="s">
        <v>1597</v>
      </c>
      <c r="G1450" s="3">
        <v>0.16323687000000001</v>
      </c>
    </row>
    <row r="1451" spans="6:7" ht="15" x14ac:dyDescent="0.25">
      <c r="F1451" s="3" t="s">
        <v>1598</v>
      </c>
      <c r="G1451" s="3">
        <v>0.25</v>
      </c>
    </row>
    <row r="1452" spans="6:7" ht="15" x14ac:dyDescent="0.25">
      <c r="F1452" s="3" t="s">
        <v>1599</v>
      </c>
      <c r="G1452" s="3">
        <v>0.16323687000000001</v>
      </c>
    </row>
    <row r="1453" spans="6:7" ht="15" x14ac:dyDescent="0.25">
      <c r="F1453" s="3" t="s">
        <v>1600</v>
      </c>
      <c r="G1453" s="3">
        <v>0.16323687000000001</v>
      </c>
    </row>
    <row r="1454" spans="6:7" ht="15" x14ac:dyDescent="0.25">
      <c r="F1454" s="3" t="s">
        <v>1601</v>
      </c>
      <c r="G1454" s="3">
        <v>0.16323687000000001</v>
      </c>
    </row>
    <row r="1455" spans="6:7" ht="15" x14ac:dyDescent="0.25">
      <c r="F1455" s="3" t="s">
        <v>1602</v>
      </c>
      <c r="G1455" s="3">
        <v>0.16323687000000001</v>
      </c>
    </row>
    <row r="1456" spans="6:7" ht="15" x14ac:dyDescent="0.25">
      <c r="F1456" s="3" t="s">
        <v>1603</v>
      </c>
      <c r="G1456" s="3">
        <v>0.16323687000000001</v>
      </c>
    </row>
    <row r="1457" spans="6:7" ht="15" x14ac:dyDescent="0.25">
      <c r="F1457" s="3" t="s">
        <v>1604</v>
      </c>
      <c r="G1457" s="3">
        <v>0.16323687000000001</v>
      </c>
    </row>
    <row r="1458" spans="6:7" ht="15" x14ac:dyDescent="0.25">
      <c r="F1458" s="3" t="s">
        <v>1605</v>
      </c>
      <c r="G1458" s="3">
        <v>0.16323687000000001</v>
      </c>
    </row>
    <row r="1459" spans="6:7" ht="15" x14ac:dyDescent="0.25">
      <c r="F1459" s="3" t="s">
        <v>1606</v>
      </c>
      <c r="G1459" s="3">
        <v>0.16323687000000001</v>
      </c>
    </row>
    <row r="1460" spans="6:7" ht="15" x14ac:dyDescent="0.25">
      <c r="F1460" s="3" t="s">
        <v>1607</v>
      </c>
      <c r="G1460" s="3">
        <v>0.16323687000000001</v>
      </c>
    </row>
    <row r="1461" spans="6:7" ht="15" x14ac:dyDescent="0.25">
      <c r="F1461" s="3" t="s">
        <v>1608</v>
      </c>
      <c r="G1461" s="3">
        <v>0.16323687000000001</v>
      </c>
    </row>
    <row r="1462" spans="6:7" ht="15" x14ac:dyDescent="0.25">
      <c r="F1462" s="3" t="s">
        <v>1609</v>
      </c>
      <c r="G1462" s="3">
        <v>0.16323687000000001</v>
      </c>
    </row>
    <row r="1463" spans="6:7" ht="15" x14ac:dyDescent="0.25">
      <c r="F1463" s="3" t="s">
        <v>1610</v>
      </c>
      <c r="G1463" s="3">
        <v>0.16323687000000001</v>
      </c>
    </row>
    <row r="1464" spans="6:7" ht="15" x14ac:dyDescent="0.25">
      <c r="F1464" s="3" t="s">
        <v>1611</v>
      </c>
      <c r="G1464" s="3">
        <v>0.16323687000000001</v>
      </c>
    </row>
    <row r="1465" spans="6:7" ht="15" x14ac:dyDescent="0.25">
      <c r="F1465" s="3" t="s">
        <v>1612</v>
      </c>
      <c r="G1465" s="3">
        <v>0.16323687000000001</v>
      </c>
    </row>
    <row r="1466" spans="6:7" ht="15" x14ac:dyDescent="0.25">
      <c r="F1466" s="3" t="s">
        <v>1613</v>
      </c>
      <c r="G1466" s="3">
        <v>0.16323687000000001</v>
      </c>
    </row>
    <row r="1467" spans="6:7" ht="15" x14ac:dyDescent="0.25">
      <c r="F1467" s="3" t="s">
        <v>1614</v>
      </c>
      <c r="G1467" s="3">
        <v>0.16323687000000001</v>
      </c>
    </row>
    <row r="1468" spans="6:7" ht="15" x14ac:dyDescent="0.25">
      <c r="F1468" s="3" t="s">
        <v>1615</v>
      </c>
      <c r="G1468" s="3">
        <v>0.16323687000000001</v>
      </c>
    </row>
    <row r="1469" spans="6:7" ht="15" x14ac:dyDescent="0.25">
      <c r="F1469" s="3" t="s">
        <v>1616</v>
      </c>
      <c r="G1469" s="3">
        <v>0.16323687000000001</v>
      </c>
    </row>
    <row r="1470" spans="6:7" ht="15" x14ac:dyDescent="0.25">
      <c r="F1470" s="3" t="s">
        <v>1617</v>
      </c>
      <c r="G1470" s="3">
        <v>0.16323687000000001</v>
      </c>
    </row>
    <row r="1471" spans="6:7" ht="15" x14ac:dyDescent="0.25">
      <c r="F1471" s="3" t="s">
        <v>1618</v>
      </c>
      <c r="G1471" s="3">
        <v>0.16323687000000001</v>
      </c>
    </row>
    <row r="1472" spans="6:7" ht="15" x14ac:dyDescent="0.25">
      <c r="F1472" s="3" t="s">
        <v>1619</v>
      </c>
      <c r="G1472" s="3">
        <v>0.16323687000000001</v>
      </c>
    </row>
    <row r="1473" spans="6:7" ht="15" x14ac:dyDescent="0.25">
      <c r="F1473" s="3" t="s">
        <v>1620</v>
      </c>
      <c r="G1473" s="3">
        <v>0.16323687000000001</v>
      </c>
    </row>
    <row r="1474" spans="6:7" ht="15" x14ac:dyDescent="0.25">
      <c r="F1474" s="3" t="s">
        <v>1621</v>
      </c>
      <c r="G1474" s="3">
        <v>0.16323687000000001</v>
      </c>
    </row>
    <row r="1475" spans="6:7" ht="15" x14ac:dyDescent="0.25">
      <c r="F1475" s="3" t="s">
        <v>1622</v>
      </c>
      <c r="G1475" s="3">
        <v>0.16323687000000001</v>
      </c>
    </row>
    <row r="1476" spans="6:7" ht="15" x14ac:dyDescent="0.25">
      <c r="F1476" s="3" t="s">
        <v>1623</v>
      </c>
      <c r="G1476" s="3">
        <v>0.16323687000000001</v>
      </c>
    </row>
    <row r="1477" spans="6:7" ht="15" x14ac:dyDescent="0.25">
      <c r="F1477" s="3" t="s">
        <v>1624</v>
      </c>
      <c r="G1477" s="3">
        <v>0.16323687000000001</v>
      </c>
    </row>
    <row r="1478" spans="6:7" ht="15" x14ac:dyDescent="0.25">
      <c r="F1478" s="3" t="s">
        <v>1625</v>
      </c>
      <c r="G1478" s="3">
        <v>0.16323687000000001</v>
      </c>
    </row>
    <row r="1479" spans="6:7" ht="15" x14ac:dyDescent="0.25">
      <c r="F1479" s="3" t="s">
        <v>1626</v>
      </c>
      <c r="G1479" s="3">
        <v>0.16323687000000001</v>
      </c>
    </row>
    <row r="1480" spans="6:7" ht="15" x14ac:dyDescent="0.25">
      <c r="F1480" s="3" t="s">
        <v>1627</v>
      </c>
      <c r="G1480" s="3">
        <v>0.16323687000000001</v>
      </c>
    </row>
    <row r="1481" spans="6:7" ht="15" x14ac:dyDescent="0.25">
      <c r="F1481" s="3" t="s">
        <v>1628</v>
      </c>
      <c r="G1481" s="3">
        <v>0.16323687000000001</v>
      </c>
    </row>
    <row r="1482" spans="6:7" ht="15" x14ac:dyDescent="0.25">
      <c r="F1482" s="3" t="s">
        <v>1629</v>
      </c>
      <c r="G1482" s="3">
        <v>0.16323687000000001</v>
      </c>
    </row>
    <row r="1483" spans="6:7" ht="15" x14ac:dyDescent="0.25">
      <c r="F1483" s="3" t="s">
        <v>1630</v>
      </c>
      <c r="G1483" s="3">
        <v>1</v>
      </c>
    </row>
    <row r="1484" spans="6:7" ht="15" x14ac:dyDescent="0.25">
      <c r="F1484" s="3" t="s">
        <v>1631</v>
      </c>
      <c r="G1484" s="3">
        <v>0.16323687000000001</v>
      </c>
    </row>
    <row r="1485" spans="6:7" ht="15" x14ac:dyDescent="0.25">
      <c r="F1485" s="3" t="s">
        <v>1632</v>
      </c>
      <c r="G1485" s="3">
        <v>0.16323687000000001</v>
      </c>
    </row>
    <row r="1486" spans="6:7" ht="15" x14ac:dyDescent="0.25">
      <c r="F1486" s="3" t="s">
        <v>1633</v>
      </c>
      <c r="G1486" s="3">
        <v>0.16323687000000001</v>
      </c>
    </row>
    <row r="1487" spans="6:7" ht="15" x14ac:dyDescent="0.25">
      <c r="F1487" s="3" t="s">
        <v>1634</v>
      </c>
      <c r="G1487" s="3">
        <v>0.16323687000000001</v>
      </c>
    </row>
    <row r="1488" spans="6:7" ht="15" x14ac:dyDescent="0.25">
      <c r="F1488" s="3" t="s">
        <v>1635</v>
      </c>
      <c r="G1488" s="3">
        <v>1</v>
      </c>
    </row>
    <row r="1489" spans="6:7" ht="15" x14ac:dyDescent="0.25">
      <c r="F1489" s="3" t="s">
        <v>1636</v>
      </c>
      <c r="G1489" s="3">
        <v>1</v>
      </c>
    </row>
    <row r="1490" spans="6:7" ht="15" x14ac:dyDescent="0.25">
      <c r="F1490" s="3" t="s">
        <v>1637</v>
      </c>
      <c r="G1490" s="3">
        <v>1</v>
      </c>
    </row>
    <row r="1491" spans="6:7" ht="15" x14ac:dyDescent="0.25">
      <c r="F1491" s="3" t="s">
        <v>1638</v>
      </c>
      <c r="G1491" s="3">
        <v>0.16323687000000001</v>
      </c>
    </row>
    <row r="1492" spans="6:7" ht="15" x14ac:dyDescent="0.25">
      <c r="F1492" s="3" t="s">
        <v>1639</v>
      </c>
      <c r="G1492" s="3">
        <v>0.16323687000000001</v>
      </c>
    </row>
    <row r="1493" spans="6:7" ht="15" x14ac:dyDescent="0.25">
      <c r="F1493" s="3" t="s">
        <v>1640</v>
      </c>
      <c r="G1493" s="3">
        <v>0.16323687000000001</v>
      </c>
    </row>
    <row r="1494" spans="6:7" ht="15" x14ac:dyDescent="0.25">
      <c r="F1494" s="3" t="s">
        <v>1641</v>
      </c>
      <c r="G1494" s="3">
        <v>0.18541845000000001</v>
      </c>
    </row>
    <row r="1495" spans="6:7" ht="15" x14ac:dyDescent="0.25">
      <c r="F1495" s="3" t="s">
        <v>1642</v>
      </c>
      <c r="G1495" s="3">
        <v>1.258E-3</v>
      </c>
    </row>
    <row r="1496" spans="6:7" ht="15" x14ac:dyDescent="0.25">
      <c r="F1496" s="3" t="s">
        <v>1643</v>
      </c>
      <c r="G1496" s="3">
        <v>2.5349999999999999E-3</v>
      </c>
    </row>
    <row r="1497" spans="6:7" ht="15" x14ac:dyDescent="0.25">
      <c r="F1497" s="3" t="s">
        <v>1644</v>
      </c>
      <c r="G1497" s="3">
        <v>6.3639999999999999E-3</v>
      </c>
    </row>
    <row r="1498" spans="6:7" ht="15" x14ac:dyDescent="0.25">
      <c r="F1498" s="3" t="s">
        <v>1645</v>
      </c>
      <c r="G1498" s="3">
        <v>3.761E-3</v>
      </c>
    </row>
    <row r="1499" spans="6:7" ht="15" x14ac:dyDescent="0.25">
      <c r="F1499" s="3" t="s">
        <v>1646</v>
      </c>
      <c r="G1499" s="3">
        <v>5.0591200000000003E-3</v>
      </c>
    </row>
    <row r="1500" spans="6:7" ht="15" x14ac:dyDescent="0.25">
      <c r="F1500" s="3" t="s">
        <v>1647</v>
      </c>
      <c r="G1500" s="3">
        <v>2.9369999999999999E-3</v>
      </c>
    </row>
    <row r="1501" spans="6:7" ht="15" x14ac:dyDescent="0.25">
      <c r="F1501" s="3" t="s">
        <v>1648</v>
      </c>
      <c r="G1501" s="3">
        <v>4.7730000000000003E-3</v>
      </c>
    </row>
    <row r="1502" spans="6:7" ht="15" x14ac:dyDescent="0.25">
      <c r="F1502" s="3" t="s">
        <v>1649</v>
      </c>
      <c r="G1502" s="3">
        <v>7.5659999999999998E-3</v>
      </c>
    </row>
    <row r="1503" spans="6:7" ht="15" x14ac:dyDescent="0.25">
      <c r="F1503" s="3" t="s">
        <v>1650</v>
      </c>
      <c r="G1503" s="3">
        <v>1.7514099999999999E-3</v>
      </c>
    </row>
    <row r="1504" spans="6:7" ht="15" x14ac:dyDescent="0.25">
      <c r="F1504" s="3" t="s">
        <v>1651</v>
      </c>
      <c r="G1504" s="3">
        <v>1</v>
      </c>
    </row>
    <row r="1505" spans="6:7" ht="15" x14ac:dyDescent="0.25">
      <c r="F1505" s="3" t="s">
        <v>1652</v>
      </c>
      <c r="G1505" s="3">
        <v>9.6399999999999999E-5</v>
      </c>
    </row>
    <row r="1506" spans="6:7" ht="15" x14ac:dyDescent="0.25">
      <c r="F1506" s="3" t="s">
        <v>1653</v>
      </c>
      <c r="G1506" s="3">
        <v>2.8800000000000002E-3</v>
      </c>
    </row>
    <row r="1507" spans="6:7" ht="15" x14ac:dyDescent="0.25">
      <c r="F1507" s="3" t="s">
        <v>1654</v>
      </c>
      <c r="G1507" s="3">
        <v>1.14E-2</v>
      </c>
    </row>
    <row r="1508" spans="6:7" ht="15" x14ac:dyDescent="0.25">
      <c r="F1508" s="3" t="s">
        <v>1655</v>
      </c>
      <c r="G1508" s="3">
        <v>0.15529999999999999</v>
      </c>
    </row>
    <row r="1509" spans="6:7" ht="15" x14ac:dyDescent="0.25">
      <c r="F1509" s="3" t="s">
        <v>1656</v>
      </c>
      <c r="G1509" s="3">
        <v>1.03E-4</v>
      </c>
    </row>
    <row r="1510" spans="6:7" ht="15" x14ac:dyDescent="0.25">
      <c r="F1510" s="3" t="s">
        <v>1657</v>
      </c>
      <c r="G1510" s="3">
        <v>2.0599999999999999E-4</v>
      </c>
    </row>
    <row r="1511" spans="6:7" ht="15" x14ac:dyDescent="0.25">
      <c r="F1511" s="3" t="s">
        <v>1658</v>
      </c>
      <c r="G1511" s="3">
        <v>3.0899999999999998E-4</v>
      </c>
    </row>
    <row r="1512" spans="6:7" ht="15" x14ac:dyDescent="0.25">
      <c r="F1512" s="3" t="s">
        <v>1659</v>
      </c>
      <c r="G1512" s="3">
        <v>4.1199999999999999E-4</v>
      </c>
    </row>
    <row r="1513" spans="6:7" ht="15" x14ac:dyDescent="0.25">
      <c r="F1513" s="3" t="s">
        <v>1660</v>
      </c>
      <c r="G1513" s="3">
        <v>5.1500000000000005E-4</v>
      </c>
    </row>
    <row r="1514" spans="6:7" ht="15" x14ac:dyDescent="0.25">
      <c r="F1514" s="3" t="s">
        <v>1661</v>
      </c>
      <c r="G1514" s="3">
        <v>1.03E-4</v>
      </c>
    </row>
    <row r="1515" spans="6:7" ht="15" x14ac:dyDescent="0.25">
      <c r="F1515" s="3" t="s">
        <v>1662</v>
      </c>
      <c r="G1515" s="3">
        <v>2.0599999999999999E-4</v>
      </c>
    </row>
    <row r="1516" spans="6:7" ht="15" x14ac:dyDescent="0.25">
      <c r="F1516" s="3" t="s">
        <v>1663</v>
      </c>
      <c r="G1516" s="3">
        <v>3.0899999999999998E-4</v>
      </c>
    </row>
    <row r="1517" spans="6:7" ht="15" x14ac:dyDescent="0.25">
      <c r="F1517" s="3" t="s">
        <v>1664</v>
      </c>
      <c r="G1517" s="3">
        <v>4.1199999999999999E-4</v>
      </c>
    </row>
    <row r="1518" spans="6:7" ht="15" x14ac:dyDescent="0.25">
      <c r="F1518" s="3" t="s">
        <v>1665</v>
      </c>
      <c r="G1518" s="3">
        <v>5.1500000000000005E-4</v>
      </c>
    </row>
    <row r="1519" spans="6:7" ht="15" x14ac:dyDescent="0.25">
      <c r="F1519" s="3" t="s">
        <v>1666</v>
      </c>
      <c r="G1519" s="3">
        <v>2.5465350000000001E-2</v>
      </c>
    </row>
    <row r="1520" spans="6:7" ht="15" x14ac:dyDescent="0.25">
      <c r="F1520" s="3" t="s">
        <v>1667</v>
      </c>
      <c r="G1520" s="3">
        <v>6.6099669999999999E-2</v>
      </c>
    </row>
    <row r="1521" spans="6:7" ht="15" x14ac:dyDescent="0.25">
      <c r="F1521" s="3" t="s">
        <v>1668</v>
      </c>
      <c r="G1521" s="3">
        <v>0.11018650000000001</v>
      </c>
    </row>
    <row r="1522" spans="6:7" ht="15" x14ac:dyDescent="0.25">
      <c r="F1522" s="3" t="s">
        <v>1669</v>
      </c>
      <c r="G1522" s="3">
        <v>1</v>
      </c>
    </row>
    <row r="1523" spans="6:7" ht="15" x14ac:dyDescent="0.25">
      <c r="F1523" s="3" t="s">
        <v>1670</v>
      </c>
      <c r="G1523" s="3">
        <v>2.1250000000000002E-3</v>
      </c>
    </row>
    <row r="1524" spans="6:7" ht="15" x14ac:dyDescent="0.25">
      <c r="F1524" s="3" t="s">
        <v>1671</v>
      </c>
      <c r="G1524" s="3">
        <v>0.35</v>
      </c>
    </row>
    <row r="1525" spans="6:7" ht="15" x14ac:dyDescent="0.25">
      <c r="F1525" s="3" t="s">
        <v>1672</v>
      </c>
      <c r="G1525" s="3">
        <v>0.16323687000000001</v>
      </c>
    </row>
    <row r="1526" spans="6:7" ht="15" x14ac:dyDescent="0.25">
      <c r="F1526" s="3" t="s">
        <v>1673</v>
      </c>
      <c r="G1526" s="3">
        <v>1</v>
      </c>
    </row>
    <row r="1527" spans="6:7" ht="15" x14ac:dyDescent="0.25">
      <c r="F1527" s="3" t="s">
        <v>1674</v>
      </c>
      <c r="G1527" s="3">
        <v>1</v>
      </c>
    </row>
    <row r="1528" spans="6:7" ht="15" x14ac:dyDescent="0.25">
      <c r="F1528" s="3" t="s">
        <v>1675</v>
      </c>
      <c r="G1528" s="3">
        <v>0.16323687000000001</v>
      </c>
    </row>
    <row r="1529" spans="6:7" ht="15" x14ac:dyDescent="0.25">
      <c r="F1529" s="3" t="s">
        <v>1676</v>
      </c>
      <c r="G1529" s="3">
        <v>0.16323687000000001</v>
      </c>
    </row>
    <row r="1530" spans="6:7" ht="15" x14ac:dyDescent="0.25">
      <c r="F1530" s="3" t="s">
        <v>1677</v>
      </c>
      <c r="G1530" s="3">
        <v>0.16323687000000001</v>
      </c>
    </row>
    <row r="1531" spans="6:7" ht="15" x14ac:dyDescent="0.25">
      <c r="F1531" s="3" t="s">
        <v>1678</v>
      </c>
      <c r="G1531" s="3">
        <v>0.16323687000000001</v>
      </c>
    </row>
    <row r="1532" spans="6:7" ht="15" x14ac:dyDescent="0.25">
      <c r="F1532" s="3" t="s">
        <v>1679</v>
      </c>
      <c r="G1532" s="3">
        <v>1</v>
      </c>
    </row>
    <row r="1533" spans="6:7" ht="15" x14ac:dyDescent="0.25">
      <c r="F1533" s="3" t="s">
        <v>1680</v>
      </c>
      <c r="G1533" s="3">
        <v>0.25</v>
      </c>
    </row>
    <row r="1534" spans="6:7" ht="15" x14ac:dyDescent="0.25">
      <c r="F1534" s="3" t="s">
        <v>1681</v>
      </c>
      <c r="G1534" s="3">
        <v>1</v>
      </c>
    </row>
    <row r="1535" spans="6:7" ht="15" x14ac:dyDescent="0.25">
      <c r="F1535" s="3" t="s">
        <v>1682</v>
      </c>
      <c r="G1535" s="3">
        <v>1</v>
      </c>
    </row>
    <row r="1536" spans="6:7" ht="15" x14ac:dyDescent="0.25">
      <c r="F1536" s="3" t="s">
        <v>1683</v>
      </c>
      <c r="G1536" s="3">
        <v>1</v>
      </c>
    </row>
    <row r="1537" spans="6:7" ht="15" x14ac:dyDescent="0.25">
      <c r="F1537" s="3" t="s">
        <v>1684</v>
      </c>
      <c r="G1537" s="3">
        <v>0.16323687000000001</v>
      </c>
    </row>
    <row r="1538" spans="6:7" ht="15" x14ac:dyDescent="0.25">
      <c r="F1538" s="3" t="s">
        <v>1685</v>
      </c>
      <c r="G1538" s="3">
        <v>0.16323687000000001</v>
      </c>
    </row>
    <row r="1539" spans="6:7" ht="15" x14ac:dyDescent="0.25">
      <c r="F1539" s="3" t="s">
        <v>1686</v>
      </c>
      <c r="G1539" s="3">
        <v>1</v>
      </c>
    </row>
    <row r="1540" spans="6:7" ht="15" x14ac:dyDescent="0.25">
      <c r="F1540" s="3" t="s">
        <v>1687</v>
      </c>
      <c r="G1540" s="3">
        <v>1</v>
      </c>
    </row>
    <row r="1541" spans="6:7" ht="15" x14ac:dyDescent="0.25">
      <c r="F1541" s="3" t="s">
        <v>1688</v>
      </c>
      <c r="G1541" s="3">
        <v>1</v>
      </c>
    </row>
    <row r="1542" spans="6:7" ht="15" x14ac:dyDescent="0.25">
      <c r="F1542" s="3" t="s">
        <v>1689</v>
      </c>
      <c r="G1542" s="3">
        <v>0.35</v>
      </c>
    </row>
    <row r="1543" spans="6:7" ht="15" x14ac:dyDescent="0.25">
      <c r="F1543" s="3" t="s">
        <v>1690</v>
      </c>
      <c r="G1543" s="3">
        <v>0.16323687000000001</v>
      </c>
    </row>
    <row r="1544" spans="6:7" ht="15" x14ac:dyDescent="0.25">
      <c r="F1544" s="3" t="s">
        <v>1691</v>
      </c>
      <c r="G1544" s="3">
        <v>0.16323687000000001</v>
      </c>
    </row>
    <row r="1545" spans="6:7" ht="15" x14ac:dyDescent="0.25">
      <c r="F1545" s="3" t="s">
        <v>1692</v>
      </c>
      <c r="G1545" s="3">
        <v>0.16323687000000001</v>
      </c>
    </row>
    <row r="1546" spans="6:7" ht="15" x14ac:dyDescent="0.25">
      <c r="F1546" s="3" t="s">
        <v>1693</v>
      </c>
      <c r="G1546" s="3">
        <v>0.16323687000000001</v>
      </c>
    </row>
    <row r="1547" spans="6:7" ht="15" x14ac:dyDescent="0.25">
      <c r="F1547" s="3" t="s">
        <v>1694</v>
      </c>
      <c r="G1547" s="3">
        <v>0.16323687000000001</v>
      </c>
    </row>
    <row r="1548" spans="6:7" ht="15" x14ac:dyDescent="0.25">
      <c r="F1548" s="3" t="s">
        <v>1695</v>
      </c>
      <c r="G1548" s="3">
        <v>0.16323687000000001</v>
      </c>
    </row>
    <row r="1549" spans="6:7" ht="15" x14ac:dyDescent="0.25">
      <c r="F1549" s="3" t="s">
        <v>1696</v>
      </c>
      <c r="G1549" s="3">
        <v>0.16323687000000001</v>
      </c>
    </row>
    <row r="1550" spans="6:7" ht="15" x14ac:dyDescent="0.25">
      <c r="F1550" s="3" t="s">
        <v>1697</v>
      </c>
      <c r="G1550" s="3">
        <v>0.16323687000000001</v>
      </c>
    </row>
    <row r="1551" spans="6:7" ht="15" x14ac:dyDescent="0.25">
      <c r="F1551" s="3" t="s">
        <v>1698</v>
      </c>
      <c r="G1551" s="3">
        <v>0.35</v>
      </c>
    </row>
    <row r="1552" spans="6:7" ht="15" x14ac:dyDescent="0.25">
      <c r="F1552" s="3" t="s">
        <v>1699</v>
      </c>
      <c r="G1552" s="3">
        <v>0.25</v>
      </c>
    </row>
    <row r="1553" spans="6:7" ht="15" x14ac:dyDescent="0.25">
      <c r="F1553" s="3" t="s">
        <v>1700</v>
      </c>
      <c r="G1553" s="3">
        <v>0.16323687000000001</v>
      </c>
    </row>
    <row r="1554" spans="6:7" ht="15" x14ac:dyDescent="0.25">
      <c r="F1554" s="3" t="s">
        <v>1701</v>
      </c>
      <c r="G1554" s="3">
        <v>0.16323687000000001</v>
      </c>
    </row>
    <row r="1555" spans="6:7" ht="15" x14ac:dyDescent="0.25">
      <c r="F1555" s="3" t="s">
        <v>1702</v>
      </c>
      <c r="G1555" s="3">
        <v>0.16323687000000001</v>
      </c>
    </row>
    <row r="1556" spans="6:7" ht="15" x14ac:dyDescent="0.25">
      <c r="F1556" s="3" t="s">
        <v>1703</v>
      </c>
      <c r="G1556" s="3">
        <v>0.16323687000000001</v>
      </c>
    </row>
    <row r="1557" spans="6:7" ht="15" x14ac:dyDescent="0.25">
      <c r="F1557" s="3" t="s">
        <v>1704</v>
      </c>
      <c r="G1557" s="3">
        <v>0.16323687000000001</v>
      </c>
    </row>
    <row r="1558" spans="6:7" ht="15" x14ac:dyDescent="0.25">
      <c r="F1558" s="3" t="s">
        <v>1705</v>
      </c>
      <c r="G1558" s="3">
        <v>0.16323687000000001</v>
      </c>
    </row>
    <row r="1559" spans="6:7" ht="15" x14ac:dyDescent="0.25">
      <c r="F1559" s="3" t="s">
        <v>1706</v>
      </c>
      <c r="G1559" s="3">
        <v>0.16323687000000001</v>
      </c>
    </row>
    <row r="1560" spans="6:7" ht="15" x14ac:dyDescent="0.25">
      <c r="F1560" s="3" t="s">
        <v>1707</v>
      </c>
      <c r="G1560" s="3">
        <v>0.16323687000000001</v>
      </c>
    </row>
    <row r="1561" spans="6:7" ht="15" x14ac:dyDescent="0.25">
      <c r="F1561" s="3" t="s">
        <v>1708</v>
      </c>
      <c r="G1561" s="3">
        <v>0.16323687000000001</v>
      </c>
    </row>
    <row r="1562" spans="6:7" ht="15" x14ac:dyDescent="0.25">
      <c r="F1562" s="3" t="s">
        <v>1709</v>
      </c>
      <c r="G1562" s="3">
        <v>0.16323687000000001</v>
      </c>
    </row>
    <row r="1563" spans="6:7" ht="15" x14ac:dyDescent="0.25">
      <c r="F1563" s="3" t="s">
        <v>1710</v>
      </c>
      <c r="G1563" s="3">
        <v>0.16323687000000001</v>
      </c>
    </row>
    <row r="1564" spans="6:7" ht="15" x14ac:dyDescent="0.25">
      <c r="F1564" s="3" t="s">
        <v>1711</v>
      </c>
      <c r="G1564" s="3">
        <v>0.16323687000000001</v>
      </c>
    </row>
    <row r="1565" spans="6:7" ht="15" x14ac:dyDescent="0.25">
      <c r="F1565" s="3" t="s">
        <v>1712</v>
      </c>
      <c r="G1565" s="3">
        <v>0.16323687000000001</v>
      </c>
    </row>
    <row r="1566" spans="6:7" ht="15" x14ac:dyDescent="0.25">
      <c r="F1566" s="3" t="s">
        <v>1713</v>
      </c>
      <c r="G1566" s="3">
        <v>0.16323687000000001</v>
      </c>
    </row>
    <row r="1567" spans="6:7" ht="15" x14ac:dyDescent="0.25">
      <c r="F1567" s="3" t="s">
        <v>1714</v>
      </c>
      <c r="G1567" s="3">
        <v>0.16323687000000001</v>
      </c>
    </row>
    <row r="1568" spans="6:7" ht="15" x14ac:dyDescent="0.25">
      <c r="F1568" s="3" t="s">
        <v>1715</v>
      </c>
      <c r="G1568" s="3">
        <v>0.16323687000000001</v>
      </c>
    </row>
    <row r="1569" spans="6:7" ht="15" x14ac:dyDescent="0.25">
      <c r="F1569" s="3" t="s">
        <v>1716</v>
      </c>
      <c r="G1569" s="3">
        <v>0.16323687000000001</v>
      </c>
    </row>
    <row r="1570" spans="6:7" ht="15" x14ac:dyDescent="0.25">
      <c r="F1570" s="3" t="s">
        <v>1717</v>
      </c>
      <c r="G1570" s="3">
        <v>0.16323687000000001</v>
      </c>
    </row>
    <row r="1571" spans="6:7" ht="15" x14ac:dyDescent="0.25">
      <c r="F1571" s="3" t="s">
        <v>1718</v>
      </c>
      <c r="G1571" s="3">
        <v>1</v>
      </c>
    </row>
    <row r="1572" spans="6:7" ht="15" x14ac:dyDescent="0.25">
      <c r="F1572" s="3" t="s">
        <v>1719</v>
      </c>
      <c r="G1572" s="3">
        <v>0.16323687000000001</v>
      </c>
    </row>
    <row r="1573" spans="6:7" ht="15" x14ac:dyDescent="0.25">
      <c r="F1573" s="3" t="s">
        <v>1720</v>
      </c>
      <c r="G1573" s="3">
        <v>0.16323687000000001</v>
      </c>
    </row>
    <row r="1574" spans="6:7" ht="15" x14ac:dyDescent="0.25">
      <c r="F1574" s="3" t="s">
        <v>1721</v>
      </c>
      <c r="G1574" s="3">
        <v>0.16323687000000001</v>
      </c>
    </row>
    <row r="1575" spans="6:7" ht="15" x14ac:dyDescent="0.25">
      <c r="F1575" s="3" t="s">
        <v>1722</v>
      </c>
      <c r="G1575" s="3">
        <v>0.25</v>
      </c>
    </row>
    <row r="1576" spans="6:7" ht="15" x14ac:dyDescent="0.25">
      <c r="F1576" s="3" t="s">
        <v>1723</v>
      </c>
      <c r="G1576" s="3">
        <v>0.16323687000000001</v>
      </c>
    </row>
    <row r="1577" spans="6:7" ht="15" x14ac:dyDescent="0.25">
      <c r="F1577" s="3" t="s">
        <v>1724</v>
      </c>
      <c r="G1577" s="3">
        <v>0.16323687000000001</v>
      </c>
    </row>
    <row r="1578" spans="6:7" ht="15" x14ac:dyDescent="0.25">
      <c r="F1578" s="3" t="s">
        <v>1725</v>
      </c>
      <c r="G1578" s="3">
        <v>0.16323687000000001</v>
      </c>
    </row>
    <row r="1579" spans="6:7" ht="15" x14ac:dyDescent="0.25">
      <c r="F1579" s="3" t="s">
        <v>1726</v>
      </c>
      <c r="G1579" s="3">
        <v>0.16323687000000001</v>
      </c>
    </row>
    <row r="1580" spans="6:7" ht="15" x14ac:dyDescent="0.25">
      <c r="F1580" s="3" t="s">
        <v>1727</v>
      </c>
      <c r="G1580" s="3">
        <v>1</v>
      </c>
    </row>
    <row r="1581" spans="6:7" ht="15" x14ac:dyDescent="0.25">
      <c r="F1581" s="3" t="s">
        <v>1728</v>
      </c>
      <c r="G1581" s="3">
        <v>1</v>
      </c>
    </row>
    <row r="1582" spans="6:7" ht="15" x14ac:dyDescent="0.25">
      <c r="F1582" s="3" t="s">
        <v>1729</v>
      </c>
      <c r="G1582" s="3">
        <v>1</v>
      </c>
    </row>
    <row r="1583" spans="6:7" ht="15" x14ac:dyDescent="0.25">
      <c r="F1583" s="3" t="s">
        <v>1730</v>
      </c>
      <c r="G1583" s="3">
        <v>0.16323687000000001</v>
      </c>
    </row>
    <row r="1584" spans="6:7" ht="15" x14ac:dyDescent="0.25">
      <c r="F1584" s="3" t="s">
        <v>1731</v>
      </c>
      <c r="G1584" s="3">
        <v>0.16323687000000001</v>
      </c>
    </row>
    <row r="1585" spans="6:7" ht="15" x14ac:dyDescent="0.25">
      <c r="F1585" s="3" t="s">
        <v>1732</v>
      </c>
      <c r="G1585" s="3">
        <v>0.16323687000000001</v>
      </c>
    </row>
    <row r="1586" spans="6:7" ht="15" x14ac:dyDescent="0.25">
      <c r="F1586" s="3" t="s">
        <v>1733</v>
      </c>
      <c r="G1586" s="3">
        <v>0.16323687000000001</v>
      </c>
    </row>
    <row r="1587" spans="6:7" ht="15" x14ac:dyDescent="0.25">
      <c r="F1587" s="3" t="s">
        <v>1734</v>
      </c>
      <c r="G1587" s="3">
        <v>0.16323687000000001</v>
      </c>
    </row>
    <row r="1588" spans="6:7" ht="15" x14ac:dyDescent="0.25">
      <c r="F1588" s="3" t="s">
        <v>1735</v>
      </c>
      <c r="G1588" s="3">
        <v>0.35</v>
      </c>
    </row>
    <row r="1589" spans="6:7" ht="15" x14ac:dyDescent="0.25">
      <c r="F1589" s="3" t="s">
        <v>1736</v>
      </c>
      <c r="G1589" s="3">
        <v>0.16323687000000001</v>
      </c>
    </row>
    <row r="1590" spans="6:7" ht="15" x14ac:dyDescent="0.25">
      <c r="F1590" s="3" t="s">
        <v>1737</v>
      </c>
      <c r="G1590" s="3">
        <v>0.35</v>
      </c>
    </row>
    <row r="1591" spans="6:7" ht="15" x14ac:dyDescent="0.25">
      <c r="F1591" s="3" t="s">
        <v>1738</v>
      </c>
      <c r="G1591" s="3">
        <v>0.25</v>
      </c>
    </row>
    <row r="1592" spans="6:7" ht="15" x14ac:dyDescent="0.25">
      <c r="F1592" s="3" t="s">
        <v>1739</v>
      </c>
      <c r="G1592" s="3">
        <v>0.16323687000000001</v>
      </c>
    </row>
    <row r="1593" spans="6:7" ht="15" x14ac:dyDescent="0.25">
      <c r="F1593" s="3" t="s">
        <v>1740</v>
      </c>
      <c r="G1593" s="3">
        <v>1</v>
      </c>
    </row>
    <row r="1594" spans="6:7" ht="15" x14ac:dyDescent="0.25">
      <c r="F1594" s="3" t="s">
        <v>1741</v>
      </c>
      <c r="G1594" s="3">
        <v>0.16323687000000001</v>
      </c>
    </row>
    <row r="1595" spans="6:7" ht="15" x14ac:dyDescent="0.25">
      <c r="F1595" s="3" t="s">
        <v>1742</v>
      </c>
      <c r="G1595" s="3">
        <v>0.16323687000000001</v>
      </c>
    </row>
    <row r="1596" spans="6:7" ht="15" x14ac:dyDescent="0.25">
      <c r="F1596" s="3" t="s">
        <v>1743</v>
      </c>
      <c r="G1596" s="3">
        <v>0.16323687000000001</v>
      </c>
    </row>
    <row r="1597" spans="6:7" ht="15" x14ac:dyDescent="0.25">
      <c r="F1597" s="3" t="s">
        <v>1744</v>
      </c>
      <c r="G1597" s="3">
        <v>0.16323687000000001</v>
      </c>
    </row>
    <row r="1598" spans="6:7" ht="15" x14ac:dyDescent="0.25">
      <c r="F1598" s="3" t="s">
        <v>1745</v>
      </c>
      <c r="G1598" s="3">
        <v>1</v>
      </c>
    </row>
    <row r="1599" spans="6:7" ht="15" x14ac:dyDescent="0.25">
      <c r="F1599" s="3" t="s">
        <v>1746</v>
      </c>
      <c r="G1599" s="3">
        <v>0.16323687000000001</v>
      </c>
    </row>
    <row r="1600" spans="6:7" ht="15" x14ac:dyDescent="0.25">
      <c r="F1600" s="3" t="s">
        <v>1747</v>
      </c>
      <c r="G1600" s="3">
        <v>0.16323687000000001</v>
      </c>
    </row>
    <row r="1601" spans="6:7" ht="15" x14ac:dyDescent="0.25">
      <c r="F1601" s="3" t="s">
        <v>1748</v>
      </c>
      <c r="G1601" s="3">
        <v>0.16323687000000001</v>
      </c>
    </row>
    <row r="1602" spans="6:7" ht="15" x14ac:dyDescent="0.25">
      <c r="F1602" s="3" t="s">
        <v>1749</v>
      </c>
      <c r="G1602" s="3">
        <v>0.16323687000000001</v>
      </c>
    </row>
    <row r="1603" spans="6:7" ht="15" x14ac:dyDescent="0.25">
      <c r="F1603" s="3" t="s">
        <v>1750</v>
      </c>
      <c r="G1603" s="3">
        <v>0.16323687000000001</v>
      </c>
    </row>
    <row r="1604" spans="6:7" ht="15" x14ac:dyDescent="0.25">
      <c r="F1604" s="3" t="s">
        <v>1751</v>
      </c>
      <c r="G1604" s="3">
        <v>0.16323687000000001</v>
      </c>
    </row>
    <row r="1605" spans="6:7" ht="15" x14ac:dyDescent="0.25">
      <c r="F1605" s="3" t="s">
        <v>1752</v>
      </c>
      <c r="G1605" s="3">
        <v>0.16323687000000001</v>
      </c>
    </row>
    <row r="1606" spans="6:7" ht="15" x14ac:dyDescent="0.25">
      <c r="F1606" s="3" t="s">
        <v>1753</v>
      </c>
      <c r="G1606" s="3">
        <v>0.16323687000000001</v>
      </c>
    </row>
    <row r="1607" spans="6:7" ht="15" x14ac:dyDescent="0.25">
      <c r="F1607" s="3" t="s">
        <v>1754</v>
      </c>
      <c r="G1607" s="3">
        <v>0.16323687000000001</v>
      </c>
    </row>
    <row r="1608" spans="6:7" ht="15" x14ac:dyDescent="0.25">
      <c r="F1608" s="3" t="s">
        <v>1755</v>
      </c>
      <c r="G1608" s="3">
        <v>0.16323687000000001</v>
      </c>
    </row>
    <row r="1609" spans="6:7" ht="15" x14ac:dyDescent="0.25">
      <c r="F1609" s="3" t="s">
        <v>1756</v>
      </c>
      <c r="G1609" s="3">
        <v>0.16323687000000001</v>
      </c>
    </row>
    <row r="1610" spans="6:7" ht="15" x14ac:dyDescent="0.25">
      <c r="F1610" s="3" t="s">
        <v>1757</v>
      </c>
      <c r="G1610" s="3">
        <v>0.16323687000000001</v>
      </c>
    </row>
    <row r="1611" spans="6:7" ht="15" x14ac:dyDescent="0.25">
      <c r="F1611" s="3" t="s">
        <v>1758</v>
      </c>
      <c r="G1611" s="3">
        <v>0.16323687000000001</v>
      </c>
    </row>
    <row r="1612" spans="6:7" ht="15" x14ac:dyDescent="0.25">
      <c r="F1612" s="3" t="s">
        <v>1759</v>
      </c>
      <c r="G1612" s="3">
        <v>0.16323687000000001</v>
      </c>
    </row>
    <row r="1613" spans="6:7" ht="15" x14ac:dyDescent="0.25">
      <c r="F1613" s="3" t="s">
        <v>1760</v>
      </c>
      <c r="G1613" s="3">
        <v>0.16323687000000001</v>
      </c>
    </row>
    <row r="1614" spans="6:7" ht="15" x14ac:dyDescent="0.25">
      <c r="F1614" s="3" t="s">
        <v>1761</v>
      </c>
      <c r="G1614" s="3">
        <v>0.16323687000000001</v>
      </c>
    </row>
    <row r="1615" spans="6:7" ht="15" x14ac:dyDescent="0.25">
      <c r="F1615" s="3" t="s">
        <v>1762</v>
      </c>
      <c r="G1615" s="3">
        <v>0.16323687000000001</v>
      </c>
    </row>
    <row r="1616" spans="6:7" ht="15" x14ac:dyDescent="0.25">
      <c r="F1616" s="3" t="s">
        <v>1763</v>
      </c>
      <c r="G1616" s="3">
        <v>0.16323687000000001</v>
      </c>
    </row>
    <row r="1617" spans="6:7" ht="15" x14ac:dyDescent="0.25">
      <c r="F1617" s="3" t="s">
        <v>1764</v>
      </c>
      <c r="G1617" s="3">
        <v>0.16323687000000001</v>
      </c>
    </row>
    <row r="1618" spans="6:7" ht="15" x14ac:dyDescent="0.25">
      <c r="F1618" s="3" t="s">
        <v>1765</v>
      </c>
      <c r="G1618" s="3">
        <v>0.16323687000000001</v>
      </c>
    </row>
    <row r="1619" spans="6:7" ht="15" x14ac:dyDescent="0.25">
      <c r="F1619" s="3" t="s">
        <v>1766</v>
      </c>
      <c r="G1619" s="3">
        <v>0.16323687000000001</v>
      </c>
    </row>
    <row r="1620" spans="6:7" ht="15" x14ac:dyDescent="0.25">
      <c r="F1620" s="3" t="s">
        <v>1767</v>
      </c>
      <c r="G1620" s="3">
        <v>0.16323687000000001</v>
      </c>
    </row>
    <row r="1621" spans="6:7" ht="15" x14ac:dyDescent="0.25">
      <c r="F1621" s="3" t="s">
        <v>1768</v>
      </c>
      <c r="G1621" s="3">
        <v>0.16323687000000001</v>
      </c>
    </row>
    <row r="1622" spans="6:7" ht="15" x14ac:dyDescent="0.25">
      <c r="F1622" s="3" t="s">
        <v>1769</v>
      </c>
      <c r="G1622" s="3">
        <v>1</v>
      </c>
    </row>
    <row r="1623" spans="6:7" ht="15" x14ac:dyDescent="0.25">
      <c r="F1623" s="3" t="s">
        <v>1770</v>
      </c>
      <c r="G1623" s="3">
        <v>1</v>
      </c>
    </row>
    <row r="1624" spans="6:7" ht="15" x14ac:dyDescent="0.25">
      <c r="F1624" s="3" t="s">
        <v>1771</v>
      </c>
      <c r="G1624" s="3">
        <v>0.16323687000000001</v>
      </c>
    </row>
    <row r="1625" spans="6:7" ht="15" x14ac:dyDescent="0.25">
      <c r="F1625" s="3" t="s">
        <v>1772</v>
      </c>
      <c r="G1625" s="3">
        <v>0.25</v>
      </c>
    </row>
    <row r="1626" spans="6:7" ht="15" x14ac:dyDescent="0.25">
      <c r="F1626" s="3" t="s">
        <v>1773</v>
      </c>
      <c r="G1626" s="3">
        <v>0.16323687000000001</v>
      </c>
    </row>
    <row r="1627" spans="6:7" ht="15" x14ac:dyDescent="0.25">
      <c r="F1627" s="3" t="s">
        <v>1774</v>
      </c>
      <c r="G1627" s="3">
        <v>0.16323687000000001</v>
      </c>
    </row>
    <row r="1628" spans="6:7" ht="15" x14ac:dyDescent="0.25">
      <c r="F1628" s="3" t="s">
        <v>1775</v>
      </c>
      <c r="G1628" s="3">
        <v>0.16323687000000001</v>
      </c>
    </row>
    <row r="1629" spans="6:7" ht="15" x14ac:dyDescent="0.25">
      <c r="F1629" s="3" t="s">
        <v>1776</v>
      </c>
      <c r="G1629" s="3">
        <v>0.16323687000000001</v>
      </c>
    </row>
    <row r="1630" spans="6:7" ht="15" x14ac:dyDescent="0.25">
      <c r="F1630" s="3" t="s">
        <v>1777</v>
      </c>
      <c r="G1630" s="3">
        <v>0.35</v>
      </c>
    </row>
    <row r="1631" spans="6:7" ht="15" x14ac:dyDescent="0.25">
      <c r="F1631" s="3" t="s">
        <v>1778</v>
      </c>
      <c r="G1631" s="3">
        <v>0.16323687000000001</v>
      </c>
    </row>
    <row r="1632" spans="6:7" ht="15" x14ac:dyDescent="0.25">
      <c r="F1632" s="3" t="s">
        <v>1779</v>
      </c>
      <c r="G1632" s="3">
        <v>0.16323687000000001</v>
      </c>
    </row>
    <row r="1633" spans="6:7" ht="15" x14ac:dyDescent="0.25">
      <c r="F1633" s="3" t="s">
        <v>1780</v>
      </c>
      <c r="G1633" s="3">
        <v>0.16323687000000001</v>
      </c>
    </row>
    <row r="1634" spans="6:7" ht="15" x14ac:dyDescent="0.25">
      <c r="F1634" s="3" t="s">
        <v>1781</v>
      </c>
      <c r="G1634" s="3">
        <v>0.16323687000000001</v>
      </c>
    </row>
    <row r="1635" spans="6:7" ht="15" x14ac:dyDescent="0.25">
      <c r="F1635" s="3" t="s">
        <v>1782</v>
      </c>
      <c r="G1635" s="3">
        <v>0.16323687000000001</v>
      </c>
    </row>
    <row r="1636" spans="6:7" ht="15" x14ac:dyDescent="0.25">
      <c r="F1636" s="3" t="s">
        <v>1783</v>
      </c>
      <c r="G1636" s="3">
        <v>0.16323687000000001</v>
      </c>
    </row>
    <row r="1637" spans="6:7" ht="15" x14ac:dyDescent="0.25">
      <c r="F1637" s="3" t="s">
        <v>1784</v>
      </c>
      <c r="G1637" s="3">
        <v>0.16323687000000001</v>
      </c>
    </row>
    <row r="1638" spans="6:7" ht="15" x14ac:dyDescent="0.25">
      <c r="F1638" s="3" t="s">
        <v>1785</v>
      </c>
      <c r="G1638" s="3">
        <v>0.16323687000000001</v>
      </c>
    </row>
    <row r="1639" spans="6:7" ht="15" x14ac:dyDescent="0.25">
      <c r="F1639" s="3" t="s">
        <v>1786</v>
      </c>
      <c r="G1639" s="3">
        <v>0.16323687000000001</v>
      </c>
    </row>
    <row r="1640" spans="6:7" ht="15" x14ac:dyDescent="0.25">
      <c r="F1640" s="3" t="s">
        <v>1787</v>
      </c>
      <c r="G1640" s="3">
        <v>0.16323687000000001</v>
      </c>
    </row>
    <row r="1641" spans="6:7" ht="15" x14ac:dyDescent="0.25">
      <c r="F1641" s="3" t="s">
        <v>1788</v>
      </c>
      <c r="G1641" s="3">
        <v>0.16323687000000001</v>
      </c>
    </row>
    <row r="1642" spans="6:7" ht="15" x14ac:dyDescent="0.25">
      <c r="F1642" s="3" t="s">
        <v>1789</v>
      </c>
      <c r="G1642" s="3">
        <v>0.16323687000000001</v>
      </c>
    </row>
    <row r="1643" spans="6:7" ht="15" x14ac:dyDescent="0.25">
      <c r="F1643" s="3" t="s">
        <v>1790</v>
      </c>
      <c r="G1643" s="3">
        <v>0.16323687000000001</v>
      </c>
    </row>
    <row r="1644" spans="6:7" ht="15" x14ac:dyDescent="0.25">
      <c r="F1644" s="3" t="s">
        <v>1791</v>
      </c>
      <c r="G1644" s="3">
        <v>0.16323687000000001</v>
      </c>
    </row>
    <row r="1645" spans="6:7" ht="15" x14ac:dyDescent="0.25">
      <c r="F1645" s="3" t="s">
        <v>1792</v>
      </c>
      <c r="G1645" s="3">
        <v>0.16323687000000001</v>
      </c>
    </row>
    <row r="1646" spans="6:7" ht="15" x14ac:dyDescent="0.25">
      <c r="F1646" s="3" t="s">
        <v>1793</v>
      </c>
      <c r="G1646" s="3">
        <v>0.25</v>
      </c>
    </row>
    <row r="1647" spans="6:7" ht="15" x14ac:dyDescent="0.25">
      <c r="F1647" s="3" t="s">
        <v>1794</v>
      </c>
      <c r="G1647" s="3">
        <v>0.16323687000000001</v>
      </c>
    </row>
    <row r="1648" spans="6:7" ht="15" x14ac:dyDescent="0.25">
      <c r="F1648" s="3" t="s">
        <v>1795</v>
      </c>
      <c r="G1648" s="3">
        <v>0.16323687000000001</v>
      </c>
    </row>
    <row r="1649" spans="6:7" ht="15" x14ac:dyDescent="0.25">
      <c r="F1649" s="3" t="s">
        <v>1796</v>
      </c>
      <c r="G1649" s="3">
        <v>0.16323687000000001</v>
      </c>
    </row>
    <row r="1650" spans="6:7" ht="15" x14ac:dyDescent="0.25">
      <c r="F1650" s="3" t="s">
        <v>1797</v>
      </c>
      <c r="G1650" s="3">
        <v>0.35</v>
      </c>
    </row>
    <row r="1651" spans="6:7" ht="15" x14ac:dyDescent="0.25">
      <c r="F1651" s="3" t="s">
        <v>1798</v>
      </c>
      <c r="G1651" s="3">
        <v>0.25</v>
      </c>
    </row>
    <row r="1652" spans="6:7" ht="15" x14ac:dyDescent="0.25">
      <c r="F1652" s="3" t="s">
        <v>1799</v>
      </c>
      <c r="G1652" s="3">
        <v>1</v>
      </c>
    </row>
    <row r="1653" spans="6:7" ht="15" x14ac:dyDescent="0.25">
      <c r="F1653" s="3" t="s">
        <v>1800</v>
      </c>
      <c r="G1653" s="3">
        <v>1</v>
      </c>
    </row>
    <row r="1654" spans="6:7" ht="15" x14ac:dyDescent="0.25">
      <c r="F1654" s="3" t="s">
        <v>1801</v>
      </c>
      <c r="G1654" s="3">
        <v>0.16323687000000001</v>
      </c>
    </row>
    <row r="1655" spans="6:7" ht="15" x14ac:dyDescent="0.25">
      <c r="F1655" s="3" t="s">
        <v>1802</v>
      </c>
      <c r="G1655" s="3">
        <v>0.16323687000000001</v>
      </c>
    </row>
    <row r="1656" spans="6:7" ht="15" x14ac:dyDescent="0.25">
      <c r="F1656" s="3" t="s">
        <v>1803</v>
      </c>
      <c r="G1656" s="3">
        <v>0.16323687000000001</v>
      </c>
    </row>
    <row r="1657" spans="6:7" ht="15" x14ac:dyDescent="0.25">
      <c r="F1657" s="3" t="s">
        <v>1804</v>
      </c>
      <c r="G1657" s="3">
        <v>0.35</v>
      </c>
    </row>
    <row r="1658" spans="6:7" ht="15" x14ac:dyDescent="0.25">
      <c r="F1658" s="3" t="s">
        <v>1805</v>
      </c>
      <c r="G1658" s="3">
        <v>1</v>
      </c>
    </row>
    <row r="1659" spans="6:7" ht="15" x14ac:dyDescent="0.25">
      <c r="F1659" s="3" t="s">
        <v>1806</v>
      </c>
      <c r="G1659" s="3">
        <v>0.16323687000000001</v>
      </c>
    </row>
    <row r="1660" spans="6:7" ht="15" x14ac:dyDescent="0.25">
      <c r="F1660" s="3" t="s">
        <v>1807</v>
      </c>
      <c r="G1660" s="3">
        <v>0.16323687000000001</v>
      </c>
    </row>
    <row r="1661" spans="6:7" ht="15" x14ac:dyDescent="0.25">
      <c r="F1661" s="3" t="s">
        <v>1808</v>
      </c>
      <c r="G1661" s="3">
        <v>0.16323687000000001</v>
      </c>
    </row>
    <row r="1662" spans="6:7" ht="15" x14ac:dyDescent="0.25">
      <c r="F1662" s="3" t="s">
        <v>1809</v>
      </c>
      <c r="G1662" s="3">
        <v>5.1500000000000005E-4</v>
      </c>
    </row>
    <row r="1663" spans="6:7" ht="15" x14ac:dyDescent="0.25">
      <c r="F1663" s="3" t="s">
        <v>1810</v>
      </c>
      <c r="G1663" s="3">
        <v>6.2074999999999999E-4</v>
      </c>
    </row>
    <row r="1664" spans="6:7" ht="15" x14ac:dyDescent="0.25">
      <c r="F1664" s="3" t="s">
        <v>1811</v>
      </c>
      <c r="G1664" s="3">
        <v>9.1759000000000003E-4</v>
      </c>
    </row>
    <row r="1665" spans="6:7" ht="15" x14ac:dyDescent="0.25">
      <c r="F1665" s="3" t="s">
        <v>1812</v>
      </c>
      <c r="G1665" s="3">
        <v>1.3948400000000001E-3</v>
      </c>
    </row>
    <row r="1666" spans="6:7" ht="15" x14ac:dyDescent="0.25">
      <c r="F1666" s="3" t="s">
        <v>1813</v>
      </c>
      <c r="G1666" s="3">
        <v>2.1246300000000002E-3</v>
      </c>
    </row>
    <row r="1667" spans="6:7" ht="15" x14ac:dyDescent="0.25">
      <c r="F1667" s="3" t="s">
        <v>1814</v>
      </c>
      <c r="G1667" s="3">
        <v>3.07018E-3</v>
      </c>
    </row>
    <row r="1668" spans="6:7" ht="15" x14ac:dyDescent="0.25">
      <c r="F1668" s="3" t="s">
        <v>1815</v>
      </c>
      <c r="G1668" s="3">
        <v>4.4445400000000003E-3</v>
      </c>
    </row>
    <row r="1669" spans="6:7" ht="15" x14ac:dyDescent="0.25">
      <c r="F1669" s="3" t="s">
        <v>1816</v>
      </c>
      <c r="G1669" s="3">
        <v>7.5560000000000002E-3</v>
      </c>
    </row>
    <row r="1670" spans="6:7" ht="15" x14ac:dyDescent="0.25">
      <c r="F1670" s="3" t="s">
        <v>1817</v>
      </c>
      <c r="G1670" s="3">
        <v>1.3210009999999999E-2</v>
      </c>
    </row>
    <row r="1671" spans="6:7" ht="15" x14ac:dyDescent="0.25">
      <c r="F1671" s="3" t="s">
        <v>1818</v>
      </c>
      <c r="G1671" s="3">
        <v>2.3749880000000001E-2</v>
      </c>
    </row>
    <row r="1672" spans="6:7" ht="15" x14ac:dyDescent="0.25">
      <c r="F1672" s="3" t="s">
        <v>1819</v>
      </c>
      <c r="G1672" s="3">
        <v>4.3910339999999999E-2</v>
      </c>
    </row>
    <row r="1673" spans="6:7" ht="15" x14ac:dyDescent="0.25">
      <c r="F1673" s="3" t="s">
        <v>1820</v>
      </c>
      <c r="G1673" s="3">
        <v>8.3487039999999998E-2</v>
      </c>
    </row>
    <row r="1674" spans="6:7" ht="15" x14ac:dyDescent="0.25">
      <c r="F1674" s="3" t="s">
        <v>1821</v>
      </c>
      <c r="G1674" s="3">
        <v>0.16323687000000001</v>
      </c>
    </row>
    <row r="1675" spans="6:7" ht="15" x14ac:dyDescent="0.25">
      <c r="F1675" s="3" t="s">
        <v>1822</v>
      </c>
      <c r="G1675" s="3">
        <v>0.25</v>
      </c>
    </row>
    <row r="1676" spans="6:7" ht="15" x14ac:dyDescent="0.25">
      <c r="F1676" s="3" t="s">
        <v>1823</v>
      </c>
      <c r="G1676" s="3">
        <v>0.35</v>
      </c>
    </row>
    <row r="1677" spans="6:7" ht="15" x14ac:dyDescent="0.25">
      <c r="F1677" s="3" t="s">
        <v>1824</v>
      </c>
      <c r="G1677" s="3">
        <v>1</v>
      </c>
    </row>
    <row r="1678" spans="6:7" ht="15" x14ac:dyDescent="0.25">
      <c r="F1678" s="3" t="s">
        <v>1825</v>
      </c>
      <c r="G1678" s="3">
        <v>1</v>
      </c>
    </row>
    <row r="1679" spans="6:7" ht="15" x14ac:dyDescent="0.25">
      <c r="F1679" s="3" t="s">
        <v>1826</v>
      </c>
      <c r="G1679" s="3">
        <v>1</v>
      </c>
    </row>
    <row r="1680" spans="6:7" ht="15" x14ac:dyDescent="0.25">
      <c r="F1680" s="3" t="s">
        <v>1827</v>
      </c>
      <c r="G1680" s="3">
        <v>0.16323687000000001</v>
      </c>
    </row>
    <row r="1681" spans="6:7" ht="15" x14ac:dyDescent="0.25">
      <c r="F1681" s="3" t="s">
        <v>1828</v>
      </c>
      <c r="G1681" s="3">
        <v>8.6099999999999996E-3</v>
      </c>
    </row>
    <row r="1682" spans="6:7" ht="15" x14ac:dyDescent="0.25">
      <c r="F1682" s="3" t="s">
        <v>1829</v>
      </c>
      <c r="G1682" s="3">
        <v>1.6830000000000001E-2</v>
      </c>
    </row>
    <row r="1683" spans="6:7" ht="15" x14ac:dyDescent="0.25">
      <c r="F1683" s="3" t="s">
        <v>1830</v>
      </c>
      <c r="G1683" s="3">
        <v>1</v>
      </c>
    </row>
    <row r="1684" spans="6:7" ht="15" x14ac:dyDescent="0.25">
      <c r="F1684" s="3" t="s">
        <v>1831</v>
      </c>
      <c r="G1684" s="3">
        <v>9.1940999999999995E-4</v>
      </c>
    </row>
    <row r="1685" spans="6:7" ht="15" x14ac:dyDescent="0.25">
      <c r="F1685" s="3" t="s">
        <v>1832</v>
      </c>
      <c r="G1685" s="3">
        <v>2.8474099999999999E-3</v>
      </c>
    </row>
    <row r="1686" spans="6:7" ht="15" x14ac:dyDescent="0.25">
      <c r="F1686" s="3" t="s">
        <v>1833</v>
      </c>
      <c r="G1686" s="3">
        <v>1.2291470000000001E-2</v>
      </c>
    </row>
    <row r="1687" spans="6:7" ht="15" x14ac:dyDescent="0.25">
      <c r="F1687" s="3" t="s">
        <v>1834</v>
      </c>
      <c r="G1687" s="3">
        <v>1.471041E-2</v>
      </c>
    </row>
    <row r="1688" spans="6:7" ht="15" x14ac:dyDescent="0.25">
      <c r="F1688" s="3" t="s">
        <v>1835</v>
      </c>
      <c r="G1688" s="3">
        <v>0.10547330000000001</v>
      </c>
    </row>
    <row r="1689" spans="6:7" ht="15" x14ac:dyDescent="0.25">
      <c r="F1689" s="3" t="s">
        <v>1836</v>
      </c>
      <c r="G1689" s="3">
        <v>1</v>
      </c>
    </row>
    <row r="1690" spans="6:7" ht="15" x14ac:dyDescent="0.25">
      <c r="F1690" s="3" t="s">
        <v>1837</v>
      </c>
      <c r="G1690" s="3">
        <v>1.75947E-3</v>
      </c>
    </row>
    <row r="1691" spans="6:7" ht="15" x14ac:dyDescent="0.25">
      <c r="F1691" s="3" t="s">
        <v>1838</v>
      </c>
      <c r="G1691" s="3">
        <v>4.3680899999999998E-3</v>
      </c>
    </row>
    <row r="1692" spans="6:7" ht="15" x14ac:dyDescent="0.25">
      <c r="F1692" s="3" t="s">
        <v>1839</v>
      </c>
      <c r="G1692" s="3">
        <v>8.03391E-3</v>
      </c>
    </row>
    <row r="1693" spans="6:7" ht="15" x14ac:dyDescent="0.25">
      <c r="F1693" s="3" t="s">
        <v>1840</v>
      </c>
      <c r="G1693" s="3">
        <v>2.4642819999999999E-2</v>
      </c>
    </row>
    <row r="1694" spans="6:7" ht="15" x14ac:dyDescent="0.25">
      <c r="F1694" s="3" t="s">
        <v>1841</v>
      </c>
      <c r="G1694" s="3">
        <v>3.8488559999999998E-2</v>
      </c>
    </row>
    <row r="1695" spans="6:7" ht="15" x14ac:dyDescent="0.25">
      <c r="F1695" s="3" t="s">
        <v>1842</v>
      </c>
      <c r="G1695" s="3">
        <v>5.089101E-2</v>
      </c>
    </row>
    <row r="1696" spans="6:7" ht="15" x14ac:dyDescent="0.25">
      <c r="F1696" s="3" t="s">
        <v>1843</v>
      </c>
      <c r="G1696" s="3">
        <v>0.16172863000000001</v>
      </c>
    </row>
    <row r="1697" spans="6:7" ht="15" x14ac:dyDescent="0.25">
      <c r="F1697" s="3" t="s">
        <v>1844</v>
      </c>
      <c r="G1697" s="3">
        <v>0.24104639999999999</v>
      </c>
    </row>
    <row r="1698" spans="6:7" ht="15" x14ac:dyDescent="0.25">
      <c r="F1698" s="3" t="s">
        <v>1845</v>
      </c>
      <c r="G1698" s="3">
        <v>0.33675597000000002</v>
      </c>
    </row>
    <row r="1699" spans="6:7" ht="15" x14ac:dyDescent="0.25">
      <c r="F1699" s="3" t="s">
        <v>1846</v>
      </c>
      <c r="G1699" s="3">
        <v>0.52605716999999996</v>
      </c>
    </row>
    <row r="1700" spans="6:7" ht="15" x14ac:dyDescent="0.25">
      <c r="F1700" s="3" t="s">
        <v>1847</v>
      </c>
      <c r="G1700" s="3">
        <v>1</v>
      </c>
    </row>
    <row r="1701" spans="6:7" ht="15" x14ac:dyDescent="0.25">
      <c r="F1701" s="3" t="s">
        <v>1848</v>
      </c>
      <c r="G1701" s="3">
        <v>1</v>
      </c>
    </row>
    <row r="1702" spans="6:7" ht="15" x14ac:dyDescent="0.25">
      <c r="F1702" s="3" t="s">
        <v>1849</v>
      </c>
      <c r="G1702" s="3">
        <v>1</v>
      </c>
    </row>
    <row r="1703" spans="6:7" ht="15" x14ac:dyDescent="0.25">
      <c r="F1703" s="3" t="s">
        <v>1850</v>
      </c>
      <c r="G1703" s="3">
        <v>6.82316E-3</v>
      </c>
    </row>
    <row r="1704" spans="6:7" ht="15" x14ac:dyDescent="0.25">
      <c r="F1704" s="3" t="s">
        <v>1851</v>
      </c>
      <c r="G1704" s="3">
        <v>1.0919379999999999E-2</v>
      </c>
    </row>
    <row r="1705" spans="6:7" ht="15" x14ac:dyDescent="0.25">
      <c r="F1705" s="3" t="s">
        <v>1852</v>
      </c>
      <c r="G1705" s="3">
        <v>1.765833E-2</v>
      </c>
    </row>
    <row r="1706" spans="6:7" ht="15" x14ac:dyDescent="0.25">
      <c r="F1706" s="3" t="s">
        <v>1853</v>
      </c>
      <c r="G1706" s="3">
        <v>2.4692929999999998E-2</v>
      </c>
    </row>
    <row r="1707" spans="6:7" ht="15" x14ac:dyDescent="0.25">
      <c r="F1707" s="3" t="s">
        <v>1854</v>
      </c>
      <c r="G1707" s="3">
        <v>0.29642552</v>
      </c>
    </row>
    <row r="1708" spans="6:7" ht="15" x14ac:dyDescent="0.25">
      <c r="F1708" s="3" t="s">
        <v>1855</v>
      </c>
      <c r="G1708" s="3">
        <v>1</v>
      </c>
    </row>
    <row r="1709" spans="6:7" ht="15" x14ac:dyDescent="0.25">
      <c r="F1709" s="3" t="s">
        <v>1856</v>
      </c>
      <c r="G1709" s="3">
        <v>0.25</v>
      </c>
    </row>
    <row r="1710" spans="6:7" ht="15" x14ac:dyDescent="0.25">
      <c r="F1710" s="3" t="s">
        <v>1857</v>
      </c>
      <c r="G1710" s="3">
        <v>5.8926600000000003E-2</v>
      </c>
    </row>
    <row r="1711" spans="6:7" ht="15" x14ac:dyDescent="0.25">
      <c r="F1711" s="3" t="s">
        <v>1858</v>
      </c>
      <c r="G1711" s="3">
        <v>6.8209329999999999E-2</v>
      </c>
    </row>
    <row r="1712" spans="6:7" ht="15" x14ac:dyDescent="0.25">
      <c r="F1712" s="3" t="s">
        <v>1859</v>
      </c>
      <c r="G1712" s="3">
        <v>7.496303E-2</v>
      </c>
    </row>
    <row r="1713" spans="6:7" ht="15" x14ac:dyDescent="0.25">
      <c r="F1713" s="3" t="s">
        <v>1860</v>
      </c>
      <c r="G1713" s="3">
        <v>8.3491750000000003E-2</v>
      </c>
    </row>
    <row r="1714" spans="6:7" ht="15" x14ac:dyDescent="0.25">
      <c r="F1714" s="3" t="s">
        <v>1861</v>
      </c>
      <c r="G1714" s="3">
        <v>5.5964200000000004E-3</v>
      </c>
    </row>
    <row r="1715" spans="6:7" ht="15" x14ac:dyDescent="0.25">
      <c r="F1715" s="3" t="s">
        <v>1862</v>
      </c>
      <c r="G1715" s="3">
        <v>8.7420799999999993E-3</v>
      </c>
    </row>
    <row r="1716" spans="6:7" ht="15" x14ac:dyDescent="0.25">
      <c r="F1716" s="3" t="s">
        <v>1863</v>
      </c>
      <c r="G1716" s="3">
        <v>1.3694420000000001E-2</v>
      </c>
    </row>
    <row r="1717" spans="6:7" ht="15" x14ac:dyDescent="0.25">
      <c r="F1717" s="3" t="s">
        <v>1864</v>
      </c>
      <c r="G1717" s="3">
        <v>2.4649620000000001E-2</v>
      </c>
    </row>
    <row r="1718" spans="6:7" ht="15" x14ac:dyDescent="0.25">
      <c r="F1718" s="3" t="s">
        <v>1865</v>
      </c>
      <c r="G1718" s="3">
        <v>4.875604E-2</v>
      </c>
    </row>
    <row r="1719" spans="6:7" ht="15" x14ac:dyDescent="0.25">
      <c r="F1719" s="3" t="s">
        <v>1866</v>
      </c>
      <c r="G1719" s="3">
        <v>1</v>
      </c>
    </row>
    <row r="1720" spans="6:7" ht="15" x14ac:dyDescent="0.25">
      <c r="F1720" s="3" t="s">
        <v>1867</v>
      </c>
      <c r="G1720" s="3">
        <v>1</v>
      </c>
    </row>
    <row r="1721" spans="6:7" ht="15" x14ac:dyDescent="0.25">
      <c r="F1721" s="3" t="s">
        <v>1868</v>
      </c>
      <c r="G1721" s="3">
        <v>1</v>
      </c>
    </row>
    <row r="1722" spans="6:7" ht="15" x14ac:dyDescent="0.25">
      <c r="F1722" s="3" t="s">
        <v>1869</v>
      </c>
      <c r="G1722" s="3">
        <v>1</v>
      </c>
    </row>
    <row r="1723" spans="6:7" ht="15" x14ac:dyDescent="0.25">
      <c r="F1723" s="3" t="s">
        <v>1870</v>
      </c>
      <c r="G1723" s="3">
        <v>1.039823E-2</v>
      </c>
    </row>
    <row r="1724" spans="6:7" ht="15" x14ac:dyDescent="0.25">
      <c r="F1724" s="3" t="s">
        <v>1871</v>
      </c>
      <c r="G1724" s="3">
        <v>1</v>
      </c>
    </row>
    <row r="1725" spans="6:7" ht="15" x14ac:dyDescent="0.25">
      <c r="F1725" s="3" t="s">
        <v>1872</v>
      </c>
      <c r="G1725" s="3">
        <v>1</v>
      </c>
    </row>
    <row r="1726" spans="6:7" ht="15" x14ac:dyDescent="0.25">
      <c r="F1726" s="3" t="s">
        <v>1873</v>
      </c>
      <c r="G1726" s="3">
        <v>0.16114834</v>
      </c>
    </row>
    <row r="1727" spans="6:7" ht="15" x14ac:dyDescent="0.25">
      <c r="F1727" s="3" t="s">
        <v>1874</v>
      </c>
      <c r="G1727" s="3">
        <v>1</v>
      </c>
    </row>
    <row r="1728" spans="6:7" ht="15" x14ac:dyDescent="0.25">
      <c r="F1728" s="3" t="s">
        <v>1875</v>
      </c>
      <c r="G1728" s="3">
        <v>1</v>
      </c>
    </row>
    <row r="1729" spans="6:7" ht="15" x14ac:dyDescent="0.25">
      <c r="F1729" s="3" t="s">
        <v>1876</v>
      </c>
      <c r="G1729" s="3">
        <v>1</v>
      </c>
    </row>
    <row r="1730" spans="6:7" ht="15" x14ac:dyDescent="0.25">
      <c r="F1730" s="3" t="s">
        <v>1877</v>
      </c>
      <c r="G1730" s="3">
        <v>0.25</v>
      </c>
    </row>
    <row r="1731" spans="6:7" ht="15" x14ac:dyDescent="0.25">
      <c r="F1731" s="3" t="s">
        <v>1878</v>
      </c>
      <c r="G1731" s="3">
        <v>0.35</v>
      </c>
    </row>
    <row r="1732" spans="6:7" ht="15" x14ac:dyDescent="0.25">
      <c r="F1732" s="3" t="s">
        <v>1879</v>
      </c>
      <c r="G1732" s="3">
        <v>1</v>
      </c>
    </row>
    <row r="1733" spans="6:7" ht="15" x14ac:dyDescent="0.25">
      <c r="F1733" s="3" t="s">
        <v>1880</v>
      </c>
      <c r="G1733" s="3">
        <v>1</v>
      </c>
    </row>
    <row r="1734" spans="6:7" ht="15" x14ac:dyDescent="0.25">
      <c r="F1734" s="3" t="s">
        <v>1881</v>
      </c>
      <c r="G1734" s="3">
        <v>1</v>
      </c>
    </row>
    <row r="1735" spans="6:7" ht="15" x14ac:dyDescent="0.25">
      <c r="F1735" s="3" t="s">
        <v>1882</v>
      </c>
      <c r="G1735" s="3">
        <v>0.25</v>
      </c>
    </row>
    <row r="1736" spans="6:7" ht="15" x14ac:dyDescent="0.25">
      <c r="F1736" s="3" t="s">
        <v>1883</v>
      </c>
      <c r="G1736" s="3">
        <v>0.35</v>
      </c>
    </row>
    <row r="1737" spans="6:7" ht="15" x14ac:dyDescent="0.25">
      <c r="F1737" s="3" t="s">
        <v>1884</v>
      </c>
      <c r="G1737" s="3">
        <v>1</v>
      </c>
    </row>
    <row r="1738" spans="6:7" ht="15" x14ac:dyDescent="0.25">
      <c r="F1738" s="3" t="s">
        <v>1885</v>
      </c>
      <c r="G1738" s="3">
        <v>1</v>
      </c>
    </row>
    <row r="1739" spans="6:7" ht="15" x14ac:dyDescent="0.25">
      <c r="F1739" s="3" t="s">
        <v>1886</v>
      </c>
      <c r="G1739" s="3">
        <v>1</v>
      </c>
    </row>
    <row r="1740" spans="6:7" ht="15" x14ac:dyDescent="0.25">
      <c r="F1740" s="3" t="s">
        <v>1887</v>
      </c>
      <c r="G1740" s="3">
        <v>0.25</v>
      </c>
    </row>
    <row r="1741" spans="6:7" ht="15" x14ac:dyDescent="0.25">
      <c r="F1741" s="3" t="s">
        <v>1888</v>
      </c>
      <c r="G1741" s="3">
        <v>0.35</v>
      </c>
    </row>
    <row r="1742" spans="6:7" ht="15" x14ac:dyDescent="0.25">
      <c r="F1742" s="3" t="s">
        <v>1889</v>
      </c>
      <c r="G1742" s="3">
        <v>1</v>
      </c>
    </row>
    <row r="1743" spans="6:7" ht="15" x14ac:dyDescent="0.25">
      <c r="F1743" s="3" t="s">
        <v>1890</v>
      </c>
      <c r="G1743" s="3">
        <v>1</v>
      </c>
    </row>
    <row r="1744" spans="6:7" ht="15" x14ac:dyDescent="0.25">
      <c r="F1744" s="3" t="s">
        <v>1891</v>
      </c>
      <c r="G1744" s="3">
        <v>1</v>
      </c>
    </row>
    <row r="1745" spans="6:7" ht="15" x14ac:dyDescent="0.25">
      <c r="F1745" s="3" t="s">
        <v>1892</v>
      </c>
      <c r="G1745" s="3">
        <v>0.25</v>
      </c>
    </row>
    <row r="1746" spans="6:7" ht="15" x14ac:dyDescent="0.25">
      <c r="F1746" s="3" t="s">
        <v>1893</v>
      </c>
      <c r="G1746" s="3">
        <v>0.35</v>
      </c>
    </row>
    <row r="1747" spans="6:7" ht="15" x14ac:dyDescent="0.25">
      <c r="F1747" s="3" t="s">
        <v>1894</v>
      </c>
      <c r="G1747" s="3">
        <v>1</v>
      </c>
    </row>
    <row r="1748" spans="6:7" ht="15" x14ac:dyDescent="0.25">
      <c r="F1748" s="3" t="s">
        <v>1895</v>
      </c>
      <c r="G1748" s="3">
        <v>1</v>
      </c>
    </row>
    <row r="1749" spans="6:7" ht="15" x14ac:dyDescent="0.25">
      <c r="F1749" s="3" t="s">
        <v>1896</v>
      </c>
      <c r="G1749" s="3">
        <v>1</v>
      </c>
    </row>
    <row r="1750" spans="6:7" ht="15" x14ac:dyDescent="0.25">
      <c r="F1750" s="3" t="s">
        <v>1897</v>
      </c>
      <c r="G1750" s="3">
        <v>0.19356572</v>
      </c>
    </row>
    <row r="1751" spans="6:7" ht="15" x14ac:dyDescent="0.25">
      <c r="F1751" s="3" t="s">
        <v>1898</v>
      </c>
      <c r="G1751" s="3">
        <v>1.6258900000000001E-3</v>
      </c>
    </row>
    <row r="1752" spans="6:7" ht="15" x14ac:dyDescent="0.25">
      <c r="F1752" s="3" t="s">
        <v>1899</v>
      </c>
      <c r="G1752" s="3">
        <v>3.8111400000000002E-3</v>
      </c>
    </row>
    <row r="1753" spans="6:7" ht="15" x14ac:dyDescent="0.25">
      <c r="F1753" s="3" t="s">
        <v>1900</v>
      </c>
      <c r="G1753" s="3">
        <v>7.1032600000000001E-3</v>
      </c>
    </row>
    <row r="1754" spans="6:7" ht="15" x14ac:dyDescent="0.25">
      <c r="F1754" s="3" t="s">
        <v>1901</v>
      </c>
      <c r="G1754" s="3">
        <v>1.297947E-2</v>
      </c>
    </row>
    <row r="1755" spans="6:7" ht="15" x14ac:dyDescent="0.25">
      <c r="F1755" s="3" t="s">
        <v>1902</v>
      </c>
      <c r="G1755" s="3">
        <v>3.0697640000000002E-2</v>
      </c>
    </row>
    <row r="1756" spans="6:7" ht="15" x14ac:dyDescent="0.25">
      <c r="F1756" s="3" t="s">
        <v>1903</v>
      </c>
      <c r="G1756" s="3">
        <v>7.2533319999999998E-2</v>
      </c>
    </row>
    <row r="1757" spans="6:7" ht="15" x14ac:dyDescent="0.25">
      <c r="F1757" s="3" t="s">
        <v>1904</v>
      </c>
      <c r="G1757" s="3">
        <v>0.23</v>
      </c>
    </row>
    <row r="1758" spans="6:7" ht="15" x14ac:dyDescent="0.25">
      <c r="F1758" s="3" t="s">
        <v>1905</v>
      </c>
      <c r="G1758" s="3">
        <v>0.3</v>
      </c>
    </row>
    <row r="1759" spans="6:7" ht="15" x14ac:dyDescent="0.25">
      <c r="F1759" s="3" t="s">
        <v>1906</v>
      </c>
      <c r="G1759" s="3">
        <v>1</v>
      </c>
    </row>
    <row r="1760" spans="6:7" ht="15" x14ac:dyDescent="0.25">
      <c r="F1760" s="3" t="s">
        <v>1907</v>
      </c>
      <c r="G1760" s="3">
        <v>1</v>
      </c>
    </row>
    <row r="1761" spans="6:7" ht="15" x14ac:dyDescent="0.25">
      <c r="F1761" s="3" t="s">
        <v>1908</v>
      </c>
      <c r="G1761" s="3">
        <v>1</v>
      </c>
    </row>
    <row r="1762" spans="6:7" ht="15" x14ac:dyDescent="0.25">
      <c r="F1762" s="3" t="s">
        <v>1909</v>
      </c>
      <c r="G1762" s="3">
        <v>1.3241899999999999E-2</v>
      </c>
    </row>
    <row r="1763" spans="6:7" ht="15" x14ac:dyDescent="0.25">
      <c r="F1763" s="3" t="s">
        <v>1910</v>
      </c>
      <c r="G1763" s="3">
        <v>5.4084000000000001E-4</v>
      </c>
    </row>
    <row r="1764" spans="6:7" ht="15" x14ac:dyDescent="0.25">
      <c r="F1764" s="3" t="s">
        <v>1911</v>
      </c>
      <c r="G1764" s="3">
        <v>0.16323687000000001</v>
      </c>
    </row>
    <row r="1765" spans="6:7" ht="15" x14ac:dyDescent="0.25">
      <c r="F1765" s="3" t="s">
        <v>1912</v>
      </c>
      <c r="G1765" s="3">
        <v>0.16323687000000001</v>
      </c>
    </row>
    <row r="1766" spans="6:7" ht="15" x14ac:dyDescent="0.25">
      <c r="F1766" s="3" t="s">
        <v>1913</v>
      </c>
      <c r="G1766" s="3">
        <v>1</v>
      </c>
    </row>
    <row r="1767" spans="6:7" ht="15" x14ac:dyDescent="0.25">
      <c r="F1767" s="3" t="s">
        <v>1914</v>
      </c>
      <c r="G1767" s="3">
        <v>3.2571800000000001E-3</v>
      </c>
    </row>
    <row r="1768" spans="6:7" ht="15" x14ac:dyDescent="0.25">
      <c r="F1768" s="3" t="s">
        <v>1915</v>
      </c>
      <c r="G1768" s="3">
        <v>1.3602600000000001E-3</v>
      </c>
    </row>
    <row r="1769" spans="6:7" ht="15" x14ac:dyDescent="0.25">
      <c r="F1769" s="3" t="s">
        <v>1916</v>
      </c>
      <c r="G1769" s="3">
        <v>2.1963999999999998E-3</v>
      </c>
    </row>
    <row r="1770" spans="6:7" ht="15" x14ac:dyDescent="0.25">
      <c r="F1770" s="3" t="s">
        <v>1917</v>
      </c>
      <c r="G1770" s="3">
        <v>1.1854000000000001E-3</v>
      </c>
    </row>
    <row r="1771" spans="6:7" ht="15" x14ac:dyDescent="0.25">
      <c r="F1771" s="3" t="s">
        <v>1918</v>
      </c>
      <c r="G1771" s="3">
        <v>3.07018E-3</v>
      </c>
    </row>
    <row r="1772" spans="6:7" ht="15" x14ac:dyDescent="0.25">
      <c r="F1772" s="3" t="s">
        <v>1919</v>
      </c>
      <c r="G1772" s="3">
        <v>4.7907000000000002E-3</v>
      </c>
    </row>
    <row r="1773" spans="6:7" ht="15" x14ac:dyDescent="0.25">
      <c r="F1773" s="3" t="s">
        <v>1920</v>
      </c>
      <c r="G1773" s="3">
        <v>4.1199999999999999E-4</v>
      </c>
    </row>
    <row r="1774" spans="6:7" ht="15" x14ac:dyDescent="0.25">
      <c r="F1774" s="3" t="s">
        <v>1921</v>
      </c>
      <c r="G1774" s="3">
        <v>1</v>
      </c>
    </row>
    <row r="1775" spans="6:7" ht="15" x14ac:dyDescent="0.25">
      <c r="F1775" s="3" t="s">
        <v>1922</v>
      </c>
      <c r="G1775" s="3">
        <v>4.4445400000000003E-3</v>
      </c>
    </row>
    <row r="1776" spans="6:7" ht="15" x14ac:dyDescent="0.25">
      <c r="F1776" s="3" t="s">
        <v>1923</v>
      </c>
      <c r="G1776" s="3">
        <v>0.16323687000000001</v>
      </c>
    </row>
    <row r="1777" spans="6:7" ht="15" x14ac:dyDescent="0.25">
      <c r="F1777" s="3" t="s">
        <v>1924</v>
      </c>
      <c r="G1777" s="3">
        <v>1</v>
      </c>
    </row>
    <row r="1778" spans="6:7" ht="15" x14ac:dyDescent="0.25">
      <c r="F1778" s="3" t="s">
        <v>1925</v>
      </c>
      <c r="G1778" s="3">
        <v>1</v>
      </c>
    </row>
    <row r="1779" spans="6:7" ht="15" x14ac:dyDescent="0.25">
      <c r="F1779" s="3" t="s">
        <v>1926</v>
      </c>
      <c r="G1779" s="3">
        <v>6.2074999999999999E-4</v>
      </c>
    </row>
    <row r="1780" spans="6:7" ht="15" x14ac:dyDescent="0.25">
      <c r="F1780" s="3" t="s">
        <v>1927</v>
      </c>
      <c r="G1780" s="3">
        <v>0.25</v>
      </c>
    </row>
    <row r="1781" spans="6:7" ht="15" x14ac:dyDescent="0.25">
      <c r="F1781" s="3" t="s">
        <v>1928</v>
      </c>
      <c r="G1781" s="3">
        <v>4.3910339999999999E-2</v>
      </c>
    </row>
    <row r="1782" spans="6:7" ht="15" x14ac:dyDescent="0.25">
      <c r="F1782" s="3" t="s">
        <v>1929</v>
      </c>
      <c r="G1782" s="3">
        <v>3.7819999999999998E-4</v>
      </c>
    </row>
    <row r="1783" spans="6:7" ht="15" x14ac:dyDescent="0.25">
      <c r="F1783" s="3" t="s">
        <v>1930</v>
      </c>
      <c r="G1783" s="3">
        <v>0.29577300000000001</v>
      </c>
    </row>
    <row r="1784" spans="6:7" ht="15" x14ac:dyDescent="0.25">
      <c r="F1784" s="3" t="s">
        <v>1931</v>
      </c>
      <c r="G1784" s="3">
        <v>6.2710000000000001E-4</v>
      </c>
    </row>
    <row r="1785" spans="6:7" ht="15" x14ac:dyDescent="0.25">
      <c r="F1785" s="3" t="s">
        <v>1932</v>
      </c>
      <c r="G1785" s="3">
        <v>9.1759000000000003E-4</v>
      </c>
    </row>
    <row r="1786" spans="6:7" ht="15" x14ac:dyDescent="0.25">
      <c r="F1786" s="3" t="s">
        <v>1933</v>
      </c>
      <c r="G1786" s="3">
        <v>0.47666009999999998</v>
      </c>
    </row>
    <row r="1787" spans="6:7" ht="15" x14ac:dyDescent="0.25">
      <c r="F1787" s="3" t="s">
        <v>1934</v>
      </c>
      <c r="G1787" s="3">
        <v>7.5560000000000002E-3</v>
      </c>
    </row>
    <row r="1788" spans="6:7" ht="15" x14ac:dyDescent="0.25">
      <c r="F1788" s="3" t="s">
        <v>1935</v>
      </c>
      <c r="G1788" s="3">
        <v>1</v>
      </c>
    </row>
    <row r="1789" spans="6:7" ht="15" x14ac:dyDescent="0.25">
      <c r="F1789" s="3" t="s">
        <v>1936</v>
      </c>
      <c r="G1789" s="3">
        <v>1.3948400000000001E-3</v>
      </c>
    </row>
    <row r="1790" spans="6:7" ht="15" x14ac:dyDescent="0.25">
      <c r="F1790" s="3" t="s">
        <v>1937</v>
      </c>
      <c r="G1790" s="3">
        <v>1</v>
      </c>
    </row>
    <row r="1791" spans="6:7" ht="15" x14ac:dyDescent="0.25">
      <c r="F1791" s="3" t="s">
        <v>1938</v>
      </c>
      <c r="G1791" s="3">
        <v>1.3210009999999999E-2</v>
      </c>
    </row>
    <row r="1792" spans="6:7" ht="15" x14ac:dyDescent="0.25">
      <c r="F1792" s="3" t="s">
        <v>1939</v>
      </c>
      <c r="G1792" s="3">
        <v>1</v>
      </c>
    </row>
    <row r="1793" spans="6:7" ht="15" x14ac:dyDescent="0.25">
      <c r="F1793" s="3" t="s">
        <v>1940</v>
      </c>
      <c r="G1793" s="3">
        <v>3.0587700000000002E-3</v>
      </c>
    </row>
    <row r="1794" spans="6:7" ht="15" x14ac:dyDescent="0.25">
      <c r="F1794" s="3" t="s">
        <v>1941</v>
      </c>
      <c r="G1794" s="3">
        <v>2.3749880000000001E-2</v>
      </c>
    </row>
    <row r="1795" spans="6:7" ht="15" x14ac:dyDescent="0.25">
      <c r="F1795" s="3" t="s">
        <v>1942</v>
      </c>
      <c r="G1795" s="3">
        <v>6.2074999999999999E-4</v>
      </c>
    </row>
    <row r="1796" spans="6:7" ht="15" x14ac:dyDescent="0.25">
      <c r="F1796" s="3" t="s">
        <v>1943</v>
      </c>
      <c r="G1796" s="3">
        <v>0.35</v>
      </c>
    </row>
    <row r="1797" spans="6:7" ht="15" x14ac:dyDescent="0.25">
      <c r="F1797" s="3" t="s">
        <v>1944</v>
      </c>
      <c r="G1797" s="3">
        <v>8.3487039999999998E-2</v>
      </c>
    </row>
    <row r="1798" spans="6:7" ht="15" x14ac:dyDescent="0.25">
      <c r="F1798" s="3" t="s">
        <v>1945</v>
      </c>
      <c r="G1798" s="3">
        <v>5.1500000000000005E-4</v>
      </c>
    </row>
    <row r="1799" spans="6:7" ht="15" x14ac:dyDescent="0.25">
      <c r="F1799" s="3" t="s">
        <v>1946</v>
      </c>
      <c r="G1799" s="3">
        <v>9.1759000000000003E-4</v>
      </c>
    </row>
    <row r="1800" spans="6:7" ht="15" x14ac:dyDescent="0.25">
      <c r="F1800" s="3" t="s">
        <v>1947</v>
      </c>
      <c r="G1800" s="3">
        <v>1.03E-4</v>
      </c>
    </row>
    <row r="1801" spans="6:7" ht="15" x14ac:dyDescent="0.25">
      <c r="F1801" s="3" t="s">
        <v>1948</v>
      </c>
      <c r="G1801" s="3">
        <v>0.14282465</v>
      </c>
    </row>
    <row r="1802" spans="6:7" ht="15" x14ac:dyDescent="0.25">
      <c r="F1802" s="3" t="s">
        <v>1949</v>
      </c>
      <c r="G1802" s="3">
        <v>0.16114834</v>
      </c>
    </row>
    <row r="1803" spans="6:7" ht="15" x14ac:dyDescent="0.25">
      <c r="F1803" s="3" t="s">
        <v>1950</v>
      </c>
      <c r="G1803" s="3">
        <v>1</v>
      </c>
    </row>
    <row r="1804" spans="6:7" ht="15" x14ac:dyDescent="0.25">
      <c r="F1804" s="3" t="s">
        <v>1951</v>
      </c>
      <c r="G1804" s="3">
        <v>1</v>
      </c>
    </row>
    <row r="1805" spans="6:7" ht="15" x14ac:dyDescent="0.25">
      <c r="F1805" s="3" t="s">
        <v>1952</v>
      </c>
      <c r="G1805" s="3">
        <v>1</v>
      </c>
    </row>
    <row r="1806" spans="6:7" ht="15" x14ac:dyDescent="0.25">
      <c r="F1806" s="3" t="s">
        <v>1953</v>
      </c>
      <c r="G1806" s="3">
        <v>1E-4</v>
      </c>
    </row>
    <row r="1807" spans="6:7" ht="15" x14ac:dyDescent="0.25">
      <c r="F1807" s="3" t="s">
        <v>1954</v>
      </c>
      <c r="G1807" s="3">
        <v>2.0000000000000001E-4</v>
      </c>
    </row>
    <row r="1808" spans="6:7" ht="15" x14ac:dyDescent="0.25">
      <c r="F1808" s="3" t="s">
        <v>1955</v>
      </c>
      <c r="G1808" s="3">
        <v>3.0747000000000001E-4</v>
      </c>
    </row>
    <row r="1809" spans="6:7" ht="15" x14ac:dyDescent="0.25">
      <c r="F1809" s="3" t="s">
        <v>1956</v>
      </c>
      <c r="G1809" s="3">
        <v>6.5450000000000003E-4</v>
      </c>
    </row>
    <row r="1810" spans="6:7" ht="15" x14ac:dyDescent="0.25">
      <c r="F1810" s="3" t="s">
        <v>1957</v>
      </c>
      <c r="G1810" s="3">
        <v>1.3188799999999999E-3</v>
      </c>
    </row>
    <row r="1811" spans="6:7" ht="15" x14ac:dyDescent="0.25">
      <c r="F1811" s="3" t="s">
        <v>1958</v>
      </c>
      <c r="G1811" s="3">
        <v>2.51534E-3</v>
      </c>
    </row>
    <row r="1812" spans="6:7" ht="15" x14ac:dyDescent="0.25">
      <c r="F1812" s="3" t="s">
        <v>1959</v>
      </c>
      <c r="G1812" s="3">
        <v>4.5389100000000002E-3</v>
      </c>
    </row>
    <row r="1813" spans="6:7" ht="15" x14ac:dyDescent="0.25">
      <c r="F1813" s="3" t="s">
        <v>1960</v>
      </c>
      <c r="G1813" s="3">
        <v>7.7466100000000001E-3</v>
      </c>
    </row>
    <row r="1814" spans="6:7" ht="15" x14ac:dyDescent="0.25">
      <c r="F1814" s="3" t="s">
        <v>1961</v>
      </c>
      <c r="G1814" s="3">
        <v>1.250009E-2</v>
      </c>
    </row>
    <row r="1815" spans="6:7" ht="15" x14ac:dyDescent="0.25">
      <c r="F1815" s="3" t="s">
        <v>1962</v>
      </c>
      <c r="G1815" s="3">
        <v>1.9064649999999999E-2</v>
      </c>
    </row>
    <row r="1816" spans="6:7" ht="15" x14ac:dyDescent="0.25">
      <c r="F1816" s="3" t="s">
        <v>1963</v>
      </c>
      <c r="G1816" s="3">
        <v>2.7480460000000002E-2</v>
      </c>
    </row>
    <row r="1817" spans="6:7" ht="15" x14ac:dyDescent="0.25">
      <c r="F1817" s="3" t="s">
        <v>1964</v>
      </c>
      <c r="G1817" s="3">
        <v>3.7446630000000002E-2</v>
      </c>
    </row>
    <row r="1818" spans="6:7" ht="15" x14ac:dyDescent="0.25">
      <c r="F1818" s="3" t="s">
        <v>1965</v>
      </c>
      <c r="G1818" s="3">
        <v>4.8271250000000002E-2</v>
      </c>
    </row>
    <row r="1819" spans="6:7" ht="15" x14ac:dyDescent="0.25">
      <c r="F1819" s="3" t="s">
        <v>1966</v>
      </c>
      <c r="G1819" s="3">
        <v>5.8926600000000003E-2</v>
      </c>
    </row>
    <row r="1820" spans="6:7" ht="15" x14ac:dyDescent="0.25">
      <c r="F1820" s="3" t="s">
        <v>1967</v>
      </c>
      <c r="G1820" s="3">
        <v>1.3238E-3</v>
      </c>
    </row>
    <row r="1821" spans="6:7" ht="15" x14ac:dyDescent="0.25">
      <c r="F1821" s="3" t="s">
        <v>1968</v>
      </c>
      <c r="G1821" s="3">
        <v>3.5593700000000001E-3</v>
      </c>
    </row>
    <row r="1822" spans="6:7" ht="15" x14ac:dyDescent="0.25">
      <c r="F1822" s="3" t="s">
        <v>1969</v>
      </c>
      <c r="G1822" s="3">
        <v>1.094123E-2</v>
      </c>
    </row>
    <row r="1823" spans="6:7" ht="15" x14ac:dyDescent="0.25">
      <c r="F1823" s="3" t="s">
        <v>1970</v>
      </c>
      <c r="G1823" s="3">
        <v>1.4089880000000001E-2</v>
      </c>
    </row>
    <row r="1824" spans="6:7" ht="15" x14ac:dyDescent="0.25">
      <c r="F1824" s="3" t="s">
        <v>1971</v>
      </c>
      <c r="G1824" s="3">
        <v>2.0535270000000001E-2</v>
      </c>
    </row>
    <row r="1825" spans="6:7" ht="15" x14ac:dyDescent="0.25">
      <c r="F1825" s="3" t="s">
        <v>1972</v>
      </c>
      <c r="G1825" s="3">
        <v>2.8596389999999999E-2</v>
      </c>
    </row>
    <row r="1826" spans="6:7" ht="15" x14ac:dyDescent="0.25">
      <c r="F1826" s="3" t="s">
        <v>1973</v>
      </c>
      <c r="G1826" s="3">
        <v>2.0599999999999999E-4</v>
      </c>
    </row>
    <row r="1827" spans="6:7" ht="15" x14ac:dyDescent="0.25">
      <c r="F1827" s="3" t="s">
        <v>1974</v>
      </c>
      <c r="G1827" s="3">
        <v>2.0599999999999999E-4</v>
      </c>
    </row>
    <row r="1828" spans="6:7" ht="15" x14ac:dyDescent="0.25">
      <c r="F1828" s="3" t="s">
        <v>1975</v>
      </c>
      <c r="G1828" s="3">
        <v>3.0899999999999998E-4</v>
      </c>
    </row>
    <row r="1829" spans="6:7" ht="15" x14ac:dyDescent="0.25">
      <c r="F1829" s="3" t="s">
        <v>1976</v>
      </c>
      <c r="G1829" s="3">
        <v>3.0899999999999998E-4</v>
      </c>
    </row>
    <row r="1830" spans="6:7" ht="15" x14ac:dyDescent="0.25">
      <c r="F1830" s="3" t="s">
        <v>1977</v>
      </c>
      <c r="G1830" s="3">
        <v>4.1199999999999999E-4</v>
      </c>
    </row>
    <row r="1831" spans="6:7" ht="15" x14ac:dyDescent="0.25">
      <c r="F1831" s="3" t="s">
        <v>1978</v>
      </c>
      <c r="G1831" s="3">
        <v>4.1199999999999999E-4</v>
      </c>
    </row>
    <row r="1832" spans="6:7" ht="15" x14ac:dyDescent="0.25">
      <c r="F1832" s="3" t="s">
        <v>1979</v>
      </c>
      <c r="G1832" s="3">
        <v>5.1500000000000005E-4</v>
      </c>
    </row>
    <row r="1833" spans="6:7" ht="15" x14ac:dyDescent="0.25">
      <c r="F1833" s="3" t="s">
        <v>1980</v>
      </c>
      <c r="G1833" s="3">
        <v>5.1500000000000005E-4</v>
      </c>
    </row>
    <row r="1834" spans="6:7" ht="15" x14ac:dyDescent="0.25">
      <c r="F1834" s="3" t="s">
        <v>1981</v>
      </c>
      <c r="G1834" s="3">
        <v>2.0599999999999999E-4</v>
      </c>
    </row>
    <row r="1835" spans="6:7" ht="15" x14ac:dyDescent="0.25">
      <c r="F1835" s="3" t="s">
        <v>1982</v>
      </c>
      <c r="G1835" s="3">
        <v>2.0599999999999999E-4</v>
      </c>
    </row>
    <row r="1836" spans="6:7" ht="15" x14ac:dyDescent="0.25">
      <c r="F1836" s="3" t="s">
        <v>1983</v>
      </c>
      <c r="G1836" s="3">
        <v>3.0899999999999998E-4</v>
      </c>
    </row>
    <row r="1837" spans="6:7" ht="15" x14ac:dyDescent="0.25">
      <c r="F1837" s="3" t="s">
        <v>1984</v>
      </c>
      <c r="G1837" s="3">
        <v>3.0899999999999998E-4</v>
      </c>
    </row>
    <row r="1838" spans="6:7" ht="15" x14ac:dyDescent="0.25">
      <c r="F1838" s="3" t="s">
        <v>1985</v>
      </c>
      <c r="G1838" s="3">
        <v>4.1199999999999999E-4</v>
      </c>
    </row>
    <row r="1839" spans="6:7" ht="15" x14ac:dyDescent="0.25">
      <c r="F1839" s="3" t="s">
        <v>1986</v>
      </c>
      <c r="G1839" s="3">
        <v>4.1199999999999999E-4</v>
      </c>
    </row>
    <row r="1840" spans="6:7" ht="15" x14ac:dyDescent="0.25">
      <c r="F1840" s="3" t="s">
        <v>1987</v>
      </c>
      <c r="G1840" s="3">
        <v>5.1500000000000005E-4</v>
      </c>
    </row>
    <row r="1841" spans="6:7" ht="15" x14ac:dyDescent="0.25">
      <c r="F1841" s="3" t="s">
        <v>1988</v>
      </c>
      <c r="G1841" s="3">
        <v>5.1500000000000005E-4</v>
      </c>
    </row>
    <row r="1842" spans="6:7" ht="15" x14ac:dyDescent="0.25">
      <c r="F1842" s="3" t="s">
        <v>1989</v>
      </c>
      <c r="G1842" s="3">
        <v>4.3799999999999999E-2</v>
      </c>
    </row>
    <row r="1843" spans="6:7" ht="15" x14ac:dyDescent="0.25">
      <c r="F1843" s="3" t="s">
        <v>1990</v>
      </c>
      <c r="G1843" s="3">
        <v>5.04E-2</v>
      </c>
    </row>
    <row r="1844" spans="6:7" ht="15" x14ac:dyDescent="0.25">
      <c r="F1844" s="3" t="s">
        <v>1991</v>
      </c>
      <c r="G1844" s="3">
        <v>0.1313</v>
      </c>
    </row>
    <row r="1845" spans="6:7" ht="15" x14ac:dyDescent="0.25">
      <c r="F1845" s="3" t="s">
        <v>1992</v>
      </c>
      <c r="G1845" s="3">
        <v>0.2243</v>
      </c>
    </row>
    <row r="1846" spans="6:7" ht="15" x14ac:dyDescent="0.25">
      <c r="F1846" s="3" t="s">
        <v>1993</v>
      </c>
      <c r="G1846" s="3">
        <v>0.24840000000000001</v>
      </c>
    </row>
    <row r="1847" spans="6:7" ht="15" x14ac:dyDescent="0.25">
      <c r="F1847" s="3" t="s">
        <v>1994</v>
      </c>
      <c r="G1847" s="3">
        <v>0.29070000000000001</v>
      </c>
    </row>
    <row r="1848" spans="6:7" ht="15" x14ac:dyDescent="0.25">
      <c r="F1848" s="3" t="s">
        <v>1995</v>
      </c>
      <c r="G1848" s="3">
        <v>0.39729999999999999</v>
      </c>
    </row>
    <row r="1849" spans="6:7" ht="15" x14ac:dyDescent="0.25">
      <c r="F1849" s="3" t="s">
        <v>1996</v>
      </c>
      <c r="G1849" s="3">
        <v>0.42730000000000001</v>
      </c>
    </row>
    <row r="1850" spans="6:7" ht="15" x14ac:dyDescent="0.25">
      <c r="F1850" s="3" t="s">
        <v>1997</v>
      </c>
      <c r="G1850" s="3">
        <v>1</v>
      </c>
    </row>
    <row r="1851" spans="6:7" ht="15" x14ac:dyDescent="0.25">
      <c r="F1851" s="3" t="s">
        <v>1998</v>
      </c>
      <c r="G1851" s="3">
        <v>1</v>
      </c>
    </row>
    <row r="1852" spans="6:7" ht="15" x14ac:dyDescent="0.25">
      <c r="F1852" s="3" t="s">
        <v>1999</v>
      </c>
      <c r="G1852" s="3">
        <v>1</v>
      </c>
    </row>
    <row r="1853" spans="6:7" ht="15" x14ac:dyDescent="0.25">
      <c r="F1853" s="3" t="s">
        <v>2000</v>
      </c>
      <c r="G1853" s="3">
        <v>1.7019699999999999E-2</v>
      </c>
    </row>
    <row r="1854" spans="6:7" ht="15" x14ac:dyDescent="0.25">
      <c r="F1854" s="3" t="s">
        <v>2001</v>
      </c>
      <c r="G1854" s="3">
        <v>4.2979999999999997E-2</v>
      </c>
    </row>
    <row r="1855" spans="6:7" ht="15" x14ac:dyDescent="0.25">
      <c r="F1855" s="3" t="s">
        <v>2002</v>
      </c>
      <c r="G1855" s="3">
        <v>4.9820000000000003E-2</v>
      </c>
    </row>
    <row r="1856" spans="6:7" ht="15" x14ac:dyDescent="0.25">
      <c r="F1856" s="3" t="s">
        <v>2003</v>
      </c>
      <c r="G1856" s="3">
        <v>0.26144000000000001</v>
      </c>
    </row>
    <row r="1857" spans="6:7" ht="15" x14ac:dyDescent="0.25">
      <c r="F1857" s="3" t="s">
        <v>2004</v>
      </c>
      <c r="G1857" s="3">
        <v>1.04E-2</v>
      </c>
    </row>
    <row r="1858" spans="6:7" ht="15" x14ac:dyDescent="0.25">
      <c r="F1858" s="3" t="s">
        <v>2005</v>
      </c>
      <c r="G1858" s="3">
        <v>1.2999999999999999E-2</v>
      </c>
    </row>
    <row r="1859" spans="6:7" ht="15" x14ac:dyDescent="0.25">
      <c r="F1859" s="3" t="s">
        <v>2006</v>
      </c>
      <c r="G1859" s="3">
        <v>1.03E-4</v>
      </c>
    </row>
    <row r="1860" spans="6:7" ht="15" x14ac:dyDescent="0.25">
      <c r="F1860" s="3" t="s">
        <v>2007</v>
      </c>
      <c r="G1860" s="3">
        <v>2.0599999999999999E-4</v>
      </c>
    </row>
    <row r="1861" spans="6:7" ht="15" x14ac:dyDescent="0.25">
      <c r="F1861" s="3" t="s">
        <v>2008</v>
      </c>
      <c r="G1861" s="3">
        <v>3.0899999999999998E-4</v>
      </c>
    </row>
    <row r="1862" spans="6:7" ht="15" x14ac:dyDescent="0.25">
      <c r="F1862" s="3" t="s">
        <v>2009</v>
      </c>
      <c r="G1862" s="3">
        <v>4.1199999999999999E-4</v>
      </c>
    </row>
    <row r="1863" spans="6:7" ht="15" x14ac:dyDescent="0.25">
      <c r="F1863" s="3" t="s">
        <v>2010</v>
      </c>
      <c r="G1863" s="3">
        <v>5.1500000000000005E-4</v>
      </c>
    </row>
    <row r="1864" spans="6:7" ht="15" x14ac:dyDescent="0.25">
      <c r="F1864" s="3" t="s">
        <v>2011</v>
      </c>
      <c r="G1864" s="3">
        <v>6.2074999999999999E-4</v>
      </c>
    </row>
    <row r="1865" spans="6:7" ht="15" x14ac:dyDescent="0.25">
      <c r="F1865" s="3" t="s">
        <v>2012</v>
      </c>
      <c r="G1865" s="3">
        <v>9.1759000000000003E-4</v>
      </c>
    </row>
    <row r="1866" spans="6:7" ht="15" x14ac:dyDescent="0.25">
      <c r="F1866" s="3" t="s">
        <v>2013</v>
      </c>
      <c r="G1866" s="3">
        <v>1.3948400000000001E-3</v>
      </c>
    </row>
    <row r="1867" spans="6:7" ht="15" x14ac:dyDescent="0.25">
      <c r="F1867" s="3" t="s">
        <v>2014</v>
      </c>
      <c r="G1867" s="3">
        <v>2.1246300000000002E-3</v>
      </c>
    </row>
    <row r="1868" spans="6:7" ht="15" x14ac:dyDescent="0.25">
      <c r="F1868" s="3" t="s">
        <v>2015</v>
      </c>
      <c r="G1868" s="3">
        <v>3.07018E-3</v>
      </c>
    </row>
    <row r="1869" spans="6:7" ht="15" x14ac:dyDescent="0.25">
      <c r="F1869" s="3" t="s">
        <v>2016</v>
      </c>
      <c r="G1869" s="3">
        <v>4.4445400000000003E-3</v>
      </c>
    </row>
    <row r="1870" spans="6:7" ht="15" x14ac:dyDescent="0.25">
      <c r="F1870" s="3" t="s">
        <v>2017</v>
      </c>
      <c r="G1870" s="3">
        <v>7.5560000000000002E-3</v>
      </c>
    </row>
    <row r="1871" spans="6:7" ht="15" x14ac:dyDescent="0.25">
      <c r="F1871" s="3" t="s">
        <v>2018</v>
      </c>
      <c r="G1871" s="3">
        <v>1.3210009999999999E-2</v>
      </c>
    </row>
    <row r="1872" spans="6:7" ht="15" x14ac:dyDescent="0.25">
      <c r="F1872" s="3" t="s">
        <v>2019</v>
      </c>
      <c r="G1872" s="3">
        <v>2.3749880000000001E-2</v>
      </c>
    </row>
    <row r="1873" spans="6:7" ht="15" x14ac:dyDescent="0.25">
      <c r="F1873" s="3" t="s">
        <v>2020</v>
      </c>
      <c r="G1873" s="3">
        <v>4.3910339999999999E-2</v>
      </c>
    </row>
    <row r="1874" spans="6:7" ht="15" x14ac:dyDescent="0.25">
      <c r="F1874" s="3" t="s">
        <v>2021</v>
      </c>
      <c r="G1874" s="3">
        <v>8.3487039999999998E-2</v>
      </c>
    </row>
    <row r="1875" spans="6:7" ht="15" x14ac:dyDescent="0.25">
      <c r="F1875" s="3" t="s">
        <v>2022</v>
      </c>
      <c r="G1875" s="3">
        <v>0.16323687000000001</v>
      </c>
    </row>
    <row r="1876" spans="6:7" ht="15" x14ac:dyDescent="0.25">
      <c r="F1876" s="3" t="s">
        <v>2023</v>
      </c>
      <c r="G1876" s="3">
        <v>0.25</v>
      </c>
    </row>
    <row r="1877" spans="6:7" ht="15" x14ac:dyDescent="0.25">
      <c r="F1877" s="3" t="s">
        <v>2024</v>
      </c>
      <c r="G1877" s="3">
        <v>0.35</v>
      </c>
    </row>
    <row r="1878" spans="6:7" ht="15" x14ac:dyDescent="0.25">
      <c r="F1878" s="3" t="s">
        <v>2025</v>
      </c>
      <c r="G1878" s="3">
        <v>1</v>
      </c>
    </row>
    <row r="1879" spans="6:7" ht="15" x14ac:dyDescent="0.25">
      <c r="F1879" s="3" t="s">
        <v>2026</v>
      </c>
      <c r="G1879" s="3">
        <v>1</v>
      </c>
    </row>
    <row r="1880" spans="6:7" ht="15" x14ac:dyDescent="0.25">
      <c r="F1880" s="3" t="s">
        <v>2027</v>
      </c>
      <c r="G1880" s="3">
        <v>1</v>
      </c>
    </row>
    <row r="1881" spans="6:7" ht="15" x14ac:dyDescent="0.25">
      <c r="F1881" s="3" t="s">
        <v>2028</v>
      </c>
      <c r="G1881" s="3">
        <v>4.3872E-3</v>
      </c>
    </row>
    <row r="1882" spans="6:7" ht="15" x14ac:dyDescent="0.25">
      <c r="F1882" s="3" t="s">
        <v>2029</v>
      </c>
      <c r="G1882" s="3">
        <v>2.95977E-3</v>
      </c>
    </row>
    <row r="1883" spans="6:7" ht="15" x14ac:dyDescent="0.25">
      <c r="F1883" s="3" t="s">
        <v>2030</v>
      </c>
      <c r="G1883" s="3">
        <v>1.006692E-2</v>
      </c>
    </row>
    <row r="1884" spans="6:7" ht="15" x14ac:dyDescent="0.25">
      <c r="F1884" s="3" t="s">
        <v>2031</v>
      </c>
      <c r="G1884" s="3">
        <v>1.738336E-2</v>
      </c>
    </row>
    <row r="1885" spans="6:7" ht="15" x14ac:dyDescent="0.25">
      <c r="F1885" s="3" t="s">
        <v>2032</v>
      </c>
      <c r="G1885" s="3">
        <v>3.0982490000000001E-2</v>
      </c>
    </row>
    <row r="1886" spans="6:7" ht="15" x14ac:dyDescent="0.25">
      <c r="F1886" s="3" t="s">
        <v>2033</v>
      </c>
      <c r="G1886" s="3">
        <v>5.34882E-2</v>
      </c>
    </row>
    <row r="1887" spans="6:7" ht="15" x14ac:dyDescent="0.25">
      <c r="F1887" s="3" t="s">
        <v>2034</v>
      </c>
      <c r="G1887" s="3">
        <v>2.0000000000000001E-4</v>
      </c>
    </row>
    <row r="1888" spans="6:7" ht="15" x14ac:dyDescent="0.25">
      <c r="F1888" s="3" t="s">
        <v>2035</v>
      </c>
      <c r="G1888" s="3">
        <v>2.9999999999999997E-4</v>
      </c>
    </row>
    <row r="1889" spans="6:7" ht="15" x14ac:dyDescent="0.25">
      <c r="F1889" s="3" t="s">
        <v>2036</v>
      </c>
      <c r="G1889" s="3">
        <v>2.0000000000000001E-4</v>
      </c>
    </row>
    <row r="1890" spans="6:7" ht="15" x14ac:dyDescent="0.25">
      <c r="F1890" s="3" t="s">
        <v>2037</v>
      </c>
      <c r="G1890" s="3">
        <v>2.9999999999999997E-4</v>
      </c>
    </row>
    <row r="1891" spans="6:7" ht="15" x14ac:dyDescent="0.25">
      <c r="F1891" s="3" t="s">
        <v>2038</v>
      </c>
      <c r="G1891" s="3">
        <v>2.0000000000000001E-4</v>
      </c>
    </row>
    <row r="1892" spans="6:7" ht="15" x14ac:dyDescent="0.25">
      <c r="F1892" s="3" t="s">
        <v>2039</v>
      </c>
      <c r="G1892" s="3">
        <v>2.9999999999999997E-4</v>
      </c>
    </row>
    <row r="1893" spans="6:7" ht="15" x14ac:dyDescent="0.25">
      <c r="F1893" s="3" t="s">
        <v>2040</v>
      </c>
      <c r="G1893" s="3">
        <v>2.0000000000000001E-4</v>
      </c>
    </row>
    <row r="1894" spans="6:7" ht="15" x14ac:dyDescent="0.25">
      <c r="F1894" s="3" t="s">
        <v>2041</v>
      </c>
      <c r="G1894" s="3">
        <v>2.9999999999999997E-4</v>
      </c>
    </row>
    <row r="1895" spans="6:7" ht="15" x14ac:dyDescent="0.25">
      <c r="F1895" s="3" t="s">
        <v>2042</v>
      </c>
      <c r="G1895" s="3">
        <v>2.0000000000000001E-4</v>
      </c>
    </row>
    <row r="1896" spans="6:7" ht="15" x14ac:dyDescent="0.25">
      <c r="F1896" s="3" t="s">
        <v>2043</v>
      </c>
      <c r="G1896" s="3">
        <v>2.9999999999999997E-4</v>
      </c>
    </row>
    <row r="1897" spans="6:7" ht="15" x14ac:dyDescent="0.25">
      <c r="F1897" s="3" t="s">
        <v>2044</v>
      </c>
      <c r="G1897" s="3">
        <v>0.25</v>
      </c>
    </row>
    <row r="1898" spans="6:7" ht="15" x14ac:dyDescent="0.25">
      <c r="F1898" s="3" t="s">
        <v>2045</v>
      </c>
      <c r="G1898" s="3">
        <v>0.35</v>
      </c>
    </row>
    <row r="1899" spans="6:7" ht="15" x14ac:dyDescent="0.25">
      <c r="F1899" s="3" t="s">
        <v>2046</v>
      </c>
      <c r="G1899" s="3">
        <v>8.3491750000000003E-2</v>
      </c>
    </row>
    <row r="1900" spans="6:7" ht="15" x14ac:dyDescent="0.25">
      <c r="F1900" s="3" t="s">
        <v>2047</v>
      </c>
      <c r="G1900" s="3">
        <v>2.0599999999999999E-4</v>
      </c>
    </row>
    <row r="1901" spans="6:7" ht="15" x14ac:dyDescent="0.25">
      <c r="F1901" s="3" t="s">
        <v>2048</v>
      </c>
      <c r="G1901" s="3">
        <v>2.0599999999999999E-4</v>
      </c>
    </row>
    <row r="1902" spans="6:7" ht="15" x14ac:dyDescent="0.25">
      <c r="F1902" s="3" t="s">
        <v>2049</v>
      </c>
      <c r="G1902" s="3">
        <v>3.0899999999999998E-4</v>
      </c>
    </row>
    <row r="1903" spans="6:7" ht="15" x14ac:dyDescent="0.25">
      <c r="F1903" s="3" t="s">
        <v>2050</v>
      </c>
      <c r="G1903" s="3">
        <v>3.0899999999999998E-4</v>
      </c>
    </row>
    <row r="1904" spans="6:7" ht="15" x14ac:dyDescent="0.25">
      <c r="F1904" s="3" t="s">
        <v>2051</v>
      </c>
      <c r="G1904" s="3">
        <v>4.1199999999999999E-4</v>
      </c>
    </row>
    <row r="1905" spans="6:7" ht="15" x14ac:dyDescent="0.25">
      <c r="F1905" s="3" t="s">
        <v>2052</v>
      </c>
      <c r="G1905" s="3">
        <v>4.1199999999999999E-4</v>
      </c>
    </row>
    <row r="1906" spans="6:7" ht="15" x14ac:dyDescent="0.25">
      <c r="F1906" s="3" t="s">
        <v>2053</v>
      </c>
      <c r="G1906" s="3">
        <v>5.1500000000000005E-4</v>
      </c>
    </row>
    <row r="1907" spans="6:7" ht="15" x14ac:dyDescent="0.25">
      <c r="F1907" s="3" t="s">
        <v>2054</v>
      </c>
      <c r="G1907" s="3">
        <v>5.1500000000000005E-4</v>
      </c>
    </row>
    <row r="1908" spans="6:7" ht="15" x14ac:dyDescent="0.25">
      <c r="F1908" s="3" t="s">
        <v>2055</v>
      </c>
      <c r="G1908" s="3">
        <v>0.43292999999999998</v>
      </c>
    </row>
    <row r="1909" spans="6:7" ht="15" x14ac:dyDescent="0.25">
      <c r="F1909" s="3" t="s">
        <v>2056</v>
      </c>
      <c r="G1909" s="3">
        <v>1.094123E-2</v>
      </c>
    </row>
    <row r="1910" spans="6:7" ht="15" x14ac:dyDescent="0.25">
      <c r="F1910" s="3" t="s">
        <v>2057</v>
      </c>
      <c r="G1910" s="3">
        <v>1.4089880000000001E-2</v>
      </c>
    </row>
    <row r="1911" spans="6:7" ht="15" x14ac:dyDescent="0.25">
      <c r="F1911" s="3" t="s">
        <v>2058</v>
      </c>
      <c r="G1911" s="3">
        <v>2.0535270000000001E-2</v>
      </c>
    </row>
    <row r="1912" spans="6:7" ht="15" x14ac:dyDescent="0.25">
      <c r="F1912" s="3" t="s">
        <v>2059</v>
      </c>
      <c r="G1912" s="3">
        <v>2.8596389999999999E-2</v>
      </c>
    </row>
    <row r="1913" spans="6:7" ht="15" x14ac:dyDescent="0.25">
      <c r="F1913" s="3" t="s">
        <v>2060</v>
      </c>
      <c r="G1913" s="3">
        <v>3.5000000000000003E-2</v>
      </c>
    </row>
    <row r="1914" spans="6:7" ht="15" x14ac:dyDescent="0.25">
      <c r="F1914" s="3" t="s">
        <v>2061</v>
      </c>
      <c r="G1914" s="3">
        <v>0.04</v>
      </c>
    </row>
    <row r="1915" spans="6:7" ht="15" x14ac:dyDescent="0.25">
      <c r="F1915" s="3" t="s">
        <v>2062</v>
      </c>
      <c r="G1915" s="3">
        <v>1</v>
      </c>
    </row>
    <row r="1916" spans="6:7" ht="15" x14ac:dyDescent="0.25">
      <c r="F1916" s="3" t="s">
        <v>2063</v>
      </c>
      <c r="G1916" s="3">
        <v>1</v>
      </c>
    </row>
    <row r="1917" spans="6:7" ht="15" x14ac:dyDescent="0.25">
      <c r="F1917" s="3" t="s">
        <v>2064</v>
      </c>
      <c r="G1917" s="3">
        <v>1.284E-3</v>
      </c>
    </row>
    <row r="1918" spans="6:7" ht="15" x14ac:dyDescent="0.25">
      <c r="F1918" s="3" t="s">
        <v>2065</v>
      </c>
      <c r="G1918" s="3">
        <v>1.9120000000000001E-3</v>
      </c>
    </row>
    <row r="1919" spans="6:7" ht="15" x14ac:dyDescent="0.25">
      <c r="F1919" s="3" t="s">
        <v>2066</v>
      </c>
      <c r="G1919" s="3">
        <v>2.9989999999999999E-3</v>
      </c>
    </row>
    <row r="1920" spans="6:7" ht="15" x14ac:dyDescent="0.25">
      <c r="F1920" s="3" t="s">
        <v>2067</v>
      </c>
      <c r="G1920" s="3">
        <v>8.6779999999999999E-3</v>
      </c>
    </row>
    <row r="1921" spans="6:7" ht="15" x14ac:dyDescent="0.25">
      <c r="F1921" s="3" t="s">
        <v>2068</v>
      </c>
      <c r="G1921" s="3">
        <v>1.2638E-2</v>
      </c>
    </row>
    <row r="1922" spans="6:7" ht="15" x14ac:dyDescent="0.25">
      <c r="F1922" s="3" t="s">
        <v>2069</v>
      </c>
      <c r="G1922" s="3">
        <v>0.14802799999999999</v>
      </c>
    </row>
    <row r="1923" spans="6:7" ht="15" x14ac:dyDescent="0.25">
      <c r="F1923" s="3" t="s">
        <v>2070</v>
      </c>
      <c r="G1923" s="3">
        <v>0.27058700000000002</v>
      </c>
    </row>
    <row r="1924" spans="6:7" ht="15" x14ac:dyDescent="0.25">
      <c r="F1924" s="3" t="s">
        <v>2071</v>
      </c>
      <c r="G1924" s="3">
        <v>0.49162299999999998</v>
      </c>
    </row>
    <row r="1925" spans="6:7" ht="15" x14ac:dyDescent="0.25">
      <c r="F1925" s="3" t="s">
        <v>2072</v>
      </c>
      <c r="G1925" s="3">
        <v>1</v>
      </c>
    </row>
    <row r="1926" spans="6:7" ht="15" x14ac:dyDescent="0.25">
      <c r="F1926" s="3" t="s">
        <v>2073</v>
      </c>
      <c r="G1926" s="3">
        <v>1</v>
      </c>
    </row>
    <row r="1927" spans="6:7" ht="15" x14ac:dyDescent="0.25">
      <c r="F1927" s="3" t="s">
        <v>2074</v>
      </c>
      <c r="G1927" s="3">
        <v>1</v>
      </c>
    </row>
    <row r="1928" spans="6:7" ht="15" x14ac:dyDescent="0.25">
      <c r="F1928" s="3" t="s">
        <v>2075</v>
      </c>
      <c r="G1928" s="3">
        <v>3.3000500000000001E-3</v>
      </c>
    </row>
    <row r="1929" spans="6:7" ht="15" x14ac:dyDescent="0.25">
      <c r="F1929" s="3" t="s">
        <v>2076</v>
      </c>
      <c r="G1929" s="3">
        <v>8.0457600000000008E-3</v>
      </c>
    </row>
    <row r="1930" spans="6:7" ht="15" x14ac:dyDescent="0.25">
      <c r="F1930" s="3" t="s">
        <v>2077</v>
      </c>
      <c r="G1930" s="3">
        <v>1.582859E-2</v>
      </c>
    </row>
    <row r="1931" spans="6:7" ht="15" x14ac:dyDescent="0.25">
      <c r="F1931" s="3" t="s">
        <v>2078</v>
      </c>
      <c r="G1931" s="3">
        <v>2.1884899999999999E-2</v>
      </c>
    </row>
    <row r="1932" spans="6:7" ht="15" x14ac:dyDescent="0.25">
      <c r="F1932" s="3" t="s">
        <v>2079</v>
      </c>
      <c r="G1932" s="3">
        <v>4.2094949999999999E-2</v>
      </c>
    </row>
    <row r="1933" spans="6:7" ht="15" x14ac:dyDescent="0.25">
      <c r="F1933" s="3" t="s">
        <v>2080</v>
      </c>
      <c r="G1933" s="3">
        <v>6.8953940000000005E-2</v>
      </c>
    </row>
    <row r="1934" spans="6:7" ht="15" x14ac:dyDescent="0.25">
      <c r="F1934" s="3" t="s">
        <v>2081</v>
      </c>
      <c r="G1934" s="3">
        <v>0.11201962</v>
      </c>
    </row>
    <row r="1935" spans="6:7" ht="15" x14ac:dyDescent="0.25">
      <c r="F1935" s="3" t="s">
        <v>2082</v>
      </c>
      <c r="G1935" s="3">
        <v>0.18732709</v>
      </c>
    </row>
    <row r="1936" spans="6:7" ht="15" x14ac:dyDescent="0.25">
      <c r="F1936" s="3" t="s">
        <v>2083</v>
      </c>
      <c r="G1936" s="3">
        <v>0.27116101999999997</v>
      </c>
    </row>
    <row r="1937" spans="6:7" ht="15" x14ac:dyDescent="0.25">
      <c r="F1937" s="3" t="s">
        <v>2084</v>
      </c>
      <c r="G1937" s="3">
        <v>0.45265368</v>
      </c>
    </row>
    <row r="1938" spans="6:7" ht="15" x14ac:dyDescent="0.25">
      <c r="F1938" s="3" t="s">
        <v>2085</v>
      </c>
      <c r="G1938" s="3">
        <v>1</v>
      </c>
    </row>
    <row r="1939" spans="6:7" ht="15" x14ac:dyDescent="0.25">
      <c r="F1939" s="3" t="s">
        <v>2086</v>
      </c>
      <c r="G1939" s="3">
        <v>3.74677E-2</v>
      </c>
    </row>
    <row r="1940" spans="6:7" ht="15" x14ac:dyDescent="0.25">
      <c r="F1940" s="3" t="s">
        <v>2087</v>
      </c>
      <c r="G1940" s="3">
        <v>3.0708900000000002E-3</v>
      </c>
    </row>
    <row r="1941" spans="6:7" ht="15" x14ac:dyDescent="0.25">
      <c r="F1941" s="3" t="s">
        <v>2088</v>
      </c>
      <c r="G1941" s="3">
        <v>4.7412799999999996E-3</v>
      </c>
    </row>
    <row r="1942" spans="6:7" ht="15" x14ac:dyDescent="0.25">
      <c r="F1942" s="3" t="s">
        <v>2089</v>
      </c>
      <c r="G1942" s="3">
        <v>7.8796600000000001E-3</v>
      </c>
    </row>
    <row r="1943" spans="6:7" ht="15" x14ac:dyDescent="0.25">
      <c r="F1943" s="3" t="s">
        <v>2090</v>
      </c>
      <c r="G1943" s="3">
        <v>1.0203790000000001E-2</v>
      </c>
    </row>
    <row r="1944" spans="6:7" ht="15" x14ac:dyDescent="0.25">
      <c r="F1944" s="3" t="s">
        <v>2091</v>
      </c>
      <c r="G1944" s="3">
        <v>1.386046E-2</v>
      </c>
    </row>
    <row r="1945" spans="6:7" ht="15" x14ac:dyDescent="0.25">
      <c r="F1945" s="3" t="s">
        <v>2092</v>
      </c>
      <c r="G1945" s="3">
        <v>1.7242219999999999E-2</v>
      </c>
    </row>
    <row r="1946" spans="6:7" ht="15" x14ac:dyDescent="0.25">
      <c r="F1946" s="3" t="s">
        <v>2093</v>
      </c>
      <c r="G1946" s="3">
        <v>2.2519259999999999E-2</v>
      </c>
    </row>
    <row r="1947" spans="6:7" ht="15" x14ac:dyDescent="0.25">
      <c r="F1947" s="3" t="s">
        <v>2094</v>
      </c>
      <c r="G1947" s="3">
        <v>2.7050080000000001E-2</v>
      </c>
    </row>
    <row r="1948" spans="6:7" ht="15" x14ac:dyDescent="0.25">
      <c r="F1948" s="3" t="s">
        <v>2095</v>
      </c>
      <c r="G1948" s="3">
        <v>3.6585369999999999E-2</v>
      </c>
    </row>
    <row r="1949" spans="6:7" ht="15" x14ac:dyDescent="0.25">
      <c r="F1949" s="3" t="s">
        <v>2096</v>
      </c>
      <c r="G1949" s="3">
        <v>7.1424669999999996E-2</v>
      </c>
    </row>
    <row r="1950" spans="6:7" ht="15" x14ac:dyDescent="0.25">
      <c r="F1950" s="3" t="s">
        <v>2097</v>
      </c>
      <c r="G1950" s="3">
        <v>7.7946440000000006E-2</v>
      </c>
    </row>
    <row r="1951" spans="6:7" ht="15" x14ac:dyDescent="0.25">
      <c r="F1951" s="3" t="s">
        <v>2098</v>
      </c>
      <c r="G1951" s="3">
        <v>9.2273579999999994E-2</v>
      </c>
    </row>
    <row r="1952" spans="6:7" ht="15" x14ac:dyDescent="0.25">
      <c r="F1952" s="3" t="s">
        <v>2099</v>
      </c>
      <c r="G1952" s="3">
        <v>0.25</v>
      </c>
    </row>
    <row r="1953" spans="6:7" ht="15" x14ac:dyDescent="0.25">
      <c r="F1953" s="3" t="s">
        <v>2100</v>
      </c>
      <c r="G1953" s="3">
        <v>0.35</v>
      </c>
    </row>
    <row r="1954" spans="6:7" ht="15" x14ac:dyDescent="0.25">
      <c r="F1954" s="3" t="s">
        <v>2101</v>
      </c>
      <c r="G1954" s="3">
        <v>0.35678925</v>
      </c>
    </row>
    <row r="1955" spans="6:7" ht="15" x14ac:dyDescent="0.25">
      <c r="F1955" s="3" t="s">
        <v>2102</v>
      </c>
      <c r="G1955" s="3">
        <v>0.56158437000000005</v>
      </c>
    </row>
    <row r="1956" spans="6:7" ht="15" x14ac:dyDescent="0.25">
      <c r="F1956" s="3" t="s">
        <v>2103</v>
      </c>
      <c r="G1956" s="3">
        <v>1</v>
      </c>
    </row>
    <row r="1957" spans="6:7" ht="15" x14ac:dyDescent="0.25">
      <c r="F1957" s="3" t="s">
        <v>2104</v>
      </c>
      <c r="G1957" s="3">
        <v>1</v>
      </c>
    </row>
    <row r="1958" spans="6:7" ht="15" x14ac:dyDescent="0.25">
      <c r="F1958" s="3" t="s">
        <v>2105</v>
      </c>
      <c r="G1958" s="3">
        <v>1</v>
      </c>
    </row>
    <row r="1959" spans="6:7" ht="15" x14ac:dyDescent="0.25">
      <c r="F1959" s="3" t="s">
        <v>2106</v>
      </c>
      <c r="G1959" s="3">
        <v>2.5000000000000001E-3</v>
      </c>
    </row>
    <row r="1960" spans="6:7" ht="15" x14ac:dyDescent="0.25">
      <c r="F1960" s="3" t="s">
        <v>2107</v>
      </c>
      <c r="G1960" s="3">
        <v>4.9500000000000004E-3</v>
      </c>
    </row>
    <row r="1961" spans="6:7" ht="15" x14ac:dyDescent="0.25">
      <c r="F1961" s="3" t="s">
        <v>2108</v>
      </c>
      <c r="G1961" s="3">
        <v>2.4799999999999999E-2</v>
      </c>
    </row>
    <row r="1962" spans="6:7" ht="15" x14ac:dyDescent="0.25">
      <c r="F1962" s="3" t="s">
        <v>2109</v>
      </c>
      <c r="G1962" s="3">
        <v>2.7609999999999999E-2</v>
      </c>
    </row>
    <row r="1963" spans="6:7" ht="15" x14ac:dyDescent="0.25">
      <c r="F1963" s="3" t="s">
        <v>2110</v>
      </c>
      <c r="G1963" s="3">
        <v>0.16450000000000001</v>
      </c>
    </row>
    <row r="1964" spans="6:7" ht="15" x14ac:dyDescent="0.25">
      <c r="F1964" s="3" t="s">
        <v>2111</v>
      </c>
      <c r="G1964" s="3">
        <v>1.03E-4</v>
      </c>
    </row>
    <row r="1965" spans="6:7" ht="15" x14ac:dyDescent="0.25">
      <c r="F1965" s="3" t="s">
        <v>2112</v>
      </c>
      <c r="G1965" s="3">
        <v>2.0599999999999999E-4</v>
      </c>
    </row>
    <row r="1966" spans="6:7" ht="15" x14ac:dyDescent="0.25">
      <c r="F1966" s="3" t="s">
        <v>2113</v>
      </c>
      <c r="G1966" s="3">
        <v>3.0899999999999998E-4</v>
      </c>
    </row>
    <row r="1967" spans="6:7" ht="15" x14ac:dyDescent="0.25">
      <c r="F1967" s="3" t="s">
        <v>2114</v>
      </c>
      <c r="G1967" s="3">
        <v>4.1199999999999999E-4</v>
      </c>
    </row>
    <row r="1968" spans="6:7" ht="15" x14ac:dyDescent="0.25">
      <c r="F1968" s="3" t="s">
        <v>2115</v>
      </c>
      <c r="G1968" s="3">
        <v>5.1500000000000005E-4</v>
      </c>
    </row>
    <row r="1969" spans="6:7" ht="15" x14ac:dyDescent="0.25">
      <c r="F1969" s="3" t="s">
        <v>2116</v>
      </c>
      <c r="G1969" s="3">
        <v>6.2074999999999999E-4</v>
      </c>
    </row>
    <row r="1970" spans="6:7" ht="15" x14ac:dyDescent="0.25">
      <c r="F1970" s="3" t="s">
        <v>2117</v>
      </c>
      <c r="G1970" s="3">
        <v>9.1759000000000003E-4</v>
      </c>
    </row>
    <row r="1971" spans="6:7" ht="15" x14ac:dyDescent="0.25">
      <c r="F1971" s="3" t="s">
        <v>2118</v>
      </c>
      <c r="G1971" s="3">
        <v>1.3948400000000001E-3</v>
      </c>
    </row>
    <row r="1972" spans="6:7" ht="15" x14ac:dyDescent="0.25">
      <c r="F1972" s="3" t="s">
        <v>2119</v>
      </c>
      <c r="G1972" s="3">
        <v>2.1246300000000002E-3</v>
      </c>
    </row>
    <row r="1973" spans="6:7" ht="15" x14ac:dyDescent="0.25">
      <c r="F1973" s="3" t="s">
        <v>2120</v>
      </c>
      <c r="G1973" s="3">
        <v>3.07018E-3</v>
      </c>
    </row>
    <row r="1974" spans="6:7" ht="15" x14ac:dyDescent="0.25">
      <c r="F1974" s="3" t="s">
        <v>2121</v>
      </c>
      <c r="G1974" s="3">
        <v>4.4445400000000003E-3</v>
      </c>
    </row>
    <row r="1975" spans="6:7" ht="15" x14ac:dyDescent="0.25">
      <c r="F1975" s="3" t="s">
        <v>2122</v>
      </c>
      <c r="G1975" s="3">
        <v>7.5560000000000002E-3</v>
      </c>
    </row>
    <row r="1976" spans="6:7" ht="15" x14ac:dyDescent="0.25">
      <c r="F1976" s="3" t="s">
        <v>2123</v>
      </c>
      <c r="G1976" s="3">
        <v>1.3210009999999999E-2</v>
      </c>
    </row>
    <row r="1977" spans="6:7" ht="15" x14ac:dyDescent="0.25">
      <c r="F1977" s="3" t="s">
        <v>2124</v>
      </c>
      <c r="G1977" s="3">
        <v>2.3749880000000001E-2</v>
      </c>
    </row>
    <row r="1978" spans="6:7" ht="15" x14ac:dyDescent="0.25">
      <c r="F1978" s="3" t="s">
        <v>2125</v>
      </c>
      <c r="G1978" s="3">
        <v>4.3910339999999999E-2</v>
      </c>
    </row>
    <row r="1979" spans="6:7" ht="15" x14ac:dyDescent="0.25">
      <c r="F1979" s="3" t="s">
        <v>2126</v>
      </c>
      <c r="G1979" s="3">
        <v>8.3487039999999998E-2</v>
      </c>
    </row>
    <row r="1980" spans="6:7" ht="15" x14ac:dyDescent="0.25">
      <c r="F1980" s="3" t="s">
        <v>2127</v>
      </c>
      <c r="G1980" s="3">
        <v>0.16323687000000001</v>
      </c>
    </row>
    <row r="1981" spans="6:7" ht="15" x14ac:dyDescent="0.25">
      <c r="F1981" s="3" t="s">
        <v>2128</v>
      </c>
      <c r="G1981" s="3">
        <v>0.25</v>
      </c>
    </row>
    <row r="1982" spans="6:7" ht="15" x14ac:dyDescent="0.25">
      <c r="F1982" s="3" t="s">
        <v>2129</v>
      </c>
      <c r="G1982" s="3">
        <v>0.35</v>
      </c>
    </row>
    <row r="1983" spans="6:7" ht="15" x14ac:dyDescent="0.25">
      <c r="F1983" s="3" t="s">
        <v>2130</v>
      </c>
      <c r="G1983" s="3">
        <v>1</v>
      </c>
    </row>
    <row r="1984" spans="6:7" ht="15" x14ac:dyDescent="0.25">
      <c r="F1984" s="3" t="s">
        <v>2131</v>
      </c>
      <c r="G1984" s="3">
        <v>1</v>
      </c>
    </row>
    <row r="1985" spans="6:7" ht="15" x14ac:dyDescent="0.25">
      <c r="F1985" s="3" t="s">
        <v>2132</v>
      </c>
      <c r="G1985" s="3">
        <v>1</v>
      </c>
    </row>
    <row r="1986" spans="6:7" ht="15" x14ac:dyDescent="0.25">
      <c r="F1986" s="3" t="s">
        <v>2133</v>
      </c>
      <c r="G1986" s="3">
        <v>4.1199999999999999E-4</v>
      </c>
    </row>
    <row r="1987" spans="6:7" ht="15" x14ac:dyDescent="0.25">
      <c r="F1987" s="3" t="s">
        <v>2134</v>
      </c>
      <c r="G1987" s="3">
        <v>5.1500000000000005E-4</v>
      </c>
    </row>
    <row r="1988" spans="6:7" ht="15" x14ac:dyDescent="0.25">
      <c r="F1988" s="3" t="s">
        <v>2135</v>
      </c>
      <c r="G1988" s="3">
        <v>6.2074999999999999E-4</v>
      </c>
    </row>
    <row r="1989" spans="6:7" ht="15" x14ac:dyDescent="0.25">
      <c r="F1989" s="3" t="s">
        <v>2136</v>
      </c>
      <c r="G1989" s="3">
        <v>9.1759000000000003E-4</v>
      </c>
    </row>
    <row r="1990" spans="6:7" ht="15" x14ac:dyDescent="0.25">
      <c r="F1990" s="3" t="s">
        <v>2137</v>
      </c>
      <c r="G1990" s="3">
        <v>1.63E-5</v>
      </c>
    </row>
    <row r="1991" spans="6:7" ht="15" x14ac:dyDescent="0.25">
      <c r="F1991" s="3" t="s">
        <v>2138</v>
      </c>
      <c r="G1991" s="3">
        <v>8.2200000000000006E-5</v>
      </c>
    </row>
    <row r="1992" spans="6:7" ht="15" x14ac:dyDescent="0.25">
      <c r="F1992" s="3" t="s">
        <v>2139</v>
      </c>
      <c r="G1992" s="3">
        <v>1.03E-4</v>
      </c>
    </row>
    <row r="1993" spans="6:7" ht="15" x14ac:dyDescent="0.25">
      <c r="F1993" s="3" t="s">
        <v>2140</v>
      </c>
      <c r="G1993" s="3">
        <v>2.0599999999999999E-4</v>
      </c>
    </row>
    <row r="1994" spans="6:7" ht="15" x14ac:dyDescent="0.25">
      <c r="F1994" s="3" t="s">
        <v>2141</v>
      </c>
      <c r="G1994" s="3">
        <v>3.0899999999999998E-4</v>
      </c>
    </row>
    <row r="1995" spans="6:7" ht="15" x14ac:dyDescent="0.25">
      <c r="F1995" s="3" t="s">
        <v>2142</v>
      </c>
      <c r="G1995" s="3">
        <v>4.1199999999999999E-4</v>
      </c>
    </row>
    <row r="1996" spans="6:7" ht="15" x14ac:dyDescent="0.25">
      <c r="F1996" s="3" t="s">
        <v>2143</v>
      </c>
      <c r="G1996" s="3">
        <v>5.1500000000000005E-4</v>
      </c>
    </row>
    <row r="1997" spans="6:7" ht="15" x14ac:dyDescent="0.25">
      <c r="F1997" s="3" t="s">
        <v>2144</v>
      </c>
      <c r="G1997" s="3">
        <v>6.2074999999999999E-4</v>
      </c>
    </row>
    <row r="1998" spans="6:7" ht="15" x14ac:dyDescent="0.25">
      <c r="F1998" s="3" t="s">
        <v>2145</v>
      </c>
      <c r="G1998" s="3">
        <v>9.1759000000000003E-4</v>
      </c>
    </row>
    <row r="1999" spans="6:7" ht="15" x14ac:dyDescent="0.25">
      <c r="F1999" s="3" t="s">
        <v>2146</v>
      </c>
      <c r="G1999" s="3">
        <v>1.3948400000000001E-3</v>
      </c>
    </row>
    <row r="2000" spans="6:7" ht="15" x14ac:dyDescent="0.25">
      <c r="F2000" s="3" t="s">
        <v>2147</v>
      </c>
      <c r="G2000" s="3">
        <v>2.1246300000000002E-3</v>
      </c>
    </row>
    <row r="2001" spans="6:7" ht="15" x14ac:dyDescent="0.25">
      <c r="F2001" s="3" t="s">
        <v>2148</v>
      </c>
      <c r="G2001" s="3">
        <v>3.07018E-3</v>
      </c>
    </row>
    <row r="2002" spans="6:7" ht="15" x14ac:dyDescent="0.25">
      <c r="F2002" s="3" t="s">
        <v>2149</v>
      </c>
      <c r="G2002" s="3">
        <v>4.4445400000000003E-3</v>
      </c>
    </row>
    <row r="2003" spans="6:7" ht="15" x14ac:dyDescent="0.25">
      <c r="F2003" s="3" t="s">
        <v>2150</v>
      </c>
      <c r="G2003" s="3">
        <v>7.5560000000000002E-3</v>
      </c>
    </row>
    <row r="2004" spans="6:7" ht="15" x14ac:dyDescent="0.25">
      <c r="F2004" s="3" t="s">
        <v>2151</v>
      </c>
      <c r="G2004" s="3">
        <v>1.3210009999999999E-2</v>
      </c>
    </row>
    <row r="2005" spans="6:7" ht="15" x14ac:dyDescent="0.25">
      <c r="F2005" s="3" t="s">
        <v>2152</v>
      </c>
      <c r="G2005" s="3">
        <v>2.3749880000000001E-2</v>
      </c>
    </row>
    <row r="2006" spans="6:7" ht="15" x14ac:dyDescent="0.25">
      <c r="F2006" s="3" t="s">
        <v>2153</v>
      </c>
      <c r="G2006" s="3">
        <v>4.3910339999999999E-2</v>
      </c>
    </row>
    <row r="2007" spans="6:7" ht="15" x14ac:dyDescent="0.25">
      <c r="F2007" s="3" t="s">
        <v>2154</v>
      </c>
      <c r="G2007" s="3">
        <v>8.3487039999999998E-2</v>
      </c>
    </row>
    <row r="2008" spans="6:7" ht="15" x14ac:dyDescent="0.25">
      <c r="F2008" s="3" t="s">
        <v>2155</v>
      </c>
      <c r="G2008" s="3">
        <v>0.16323687000000001</v>
      </c>
    </row>
    <row r="2009" spans="6:7" ht="15" x14ac:dyDescent="0.25">
      <c r="F2009" s="3" t="s">
        <v>2156</v>
      </c>
      <c r="G2009" s="3">
        <v>0.25</v>
      </c>
    </row>
    <row r="2010" spans="6:7" ht="15" x14ac:dyDescent="0.25">
      <c r="F2010" s="3" t="s">
        <v>2157</v>
      </c>
      <c r="G2010" s="3">
        <v>0.35</v>
      </c>
    </row>
    <row r="2011" spans="6:7" ht="15" x14ac:dyDescent="0.25">
      <c r="F2011" s="3" t="s">
        <v>2158</v>
      </c>
      <c r="G2011" s="3">
        <v>1</v>
      </c>
    </row>
    <row r="2012" spans="6:7" ht="15" x14ac:dyDescent="0.25">
      <c r="F2012" s="3" t="s">
        <v>2159</v>
      </c>
      <c r="G2012" s="3">
        <v>1</v>
      </c>
    </row>
    <row r="2013" spans="6:7" ht="15" x14ac:dyDescent="0.25">
      <c r="F2013" s="3" t="s">
        <v>2160</v>
      </c>
      <c r="G2013" s="3">
        <v>1</v>
      </c>
    </row>
    <row r="2014" spans="6:7" ht="15" x14ac:dyDescent="0.25">
      <c r="F2014" s="3" t="s">
        <v>2161</v>
      </c>
      <c r="G2014" s="3">
        <v>1.03E-4</v>
      </c>
    </row>
    <row r="2015" spans="6:7" ht="15" x14ac:dyDescent="0.25">
      <c r="F2015" s="3" t="s">
        <v>2162</v>
      </c>
      <c r="G2015" s="3">
        <v>2.0599999999999999E-4</v>
      </c>
    </row>
    <row r="2016" spans="6:7" ht="15" x14ac:dyDescent="0.25">
      <c r="F2016" s="3" t="s">
        <v>2163</v>
      </c>
      <c r="G2016" s="3">
        <v>3.0899999999999998E-4</v>
      </c>
    </row>
    <row r="2017" spans="6:7" ht="15" x14ac:dyDescent="0.25">
      <c r="F2017" s="3" t="s">
        <v>2164</v>
      </c>
      <c r="G2017" s="3">
        <v>4.1199999999999999E-4</v>
      </c>
    </row>
    <row r="2018" spans="6:7" ht="15" x14ac:dyDescent="0.25">
      <c r="F2018" s="3" t="s">
        <v>2165</v>
      </c>
      <c r="G2018" s="3">
        <v>5.1500000000000005E-4</v>
      </c>
    </row>
    <row r="2019" spans="6:7" ht="15" x14ac:dyDescent="0.25">
      <c r="F2019" s="3" t="s">
        <v>2166</v>
      </c>
      <c r="G2019" s="3">
        <v>6.2074999999999999E-4</v>
      </c>
    </row>
    <row r="2020" spans="6:7" ht="15" x14ac:dyDescent="0.25">
      <c r="F2020" s="3" t="s">
        <v>2167</v>
      </c>
      <c r="G2020" s="3">
        <v>9.1759000000000003E-4</v>
      </c>
    </row>
    <row r="2021" spans="6:7" ht="15" x14ac:dyDescent="0.25">
      <c r="F2021" s="3" t="s">
        <v>2168</v>
      </c>
      <c r="G2021" s="3">
        <v>1.3948400000000001E-3</v>
      </c>
    </row>
    <row r="2022" spans="6:7" ht="15" x14ac:dyDescent="0.25">
      <c r="F2022" s="3" t="s">
        <v>2169</v>
      </c>
      <c r="G2022" s="3">
        <v>2.1246300000000002E-3</v>
      </c>
    </row>
    <row r="2023" spans="6:7" ht="15" x14ac:dyDescent="0.25">
      <c r="F2023" s="3" t="s">
        <v>2170</v>
      </c>
      <c r="G2023" s="3">
        <v>3.07018E-3</v>
      </c>
    </row>
    <row r="2024" spans="6:7" ht="15" x14ac:dyDescent="0.25">
      <c r="F2024" s="3" t="s">
        <v>2171</v>
      </c>
      <c r="G2024" s="3">
        <v>4.4445400000000003E-3</v>
      </c>
    </row>
    <row r="2025" spans="6:7" ht="15" x14ac:dyDescent="0.25">
      <c r="F2025" s="3" t="s">
        <v>2172</v>
      </c>
      <c r="G2025" s="3">
        <v>7.5560000000000002E-3</v>
      </c>
    </row>
    <row r="2026" spans="6:7" ht="15" x14ac:dyDescent="0.25">
      <c r="F2026" s="3" t="s">
        <v>2173</v>
      </c>
      <c r="G2026" s="3">
        <v>1.3210009999999999E-2</v>
      </c>
    </row>
    <row r="2027" spans="6:7" ht="15" x14ac:dyDescent="0.25">
      <c r="F2027" s="3" t="s">
        <v>2174</v>
      </c>
      <c r="G2027" s="3">
        <v>2.3749880000000001E-2</v>
      </c>
    </row>
    <row r="2028" spans="6:7" ht="15" x14ac:dyDescent="0.25">
      <c r="F2028" s="3" t="s">
        <v>2175</v>
      </c>
      <c r="G2028" s="3">
        <v>4.3910339999999999E-2</v>
      </c>
    </row>
    <row r="2029" spans="6:7" ht="15" x14ac:dyDescent="0.25">
      <c r="F2029" s="3" t="s">
        <v>2176</v>
      </c>
      <c r="G2029" s="3">
        <v>8.3487039999999998E-2</v>
      </c>
    </row>
    <row r="2030" spans="6:7" ht="15" x14ac:dyDescent="0.25">
      <c r="F2030" s="3" t="s">
        <v>2177</v>
      </c>
      <c r="G2030" s="3">
        <v>0.16323687000000001</v>
      </c>
    </row>
    <row r="2031" spans="6:7" ht="15" x14ac:dyDescent="0.25">
      <c r="F2031" s="3" t="s">
        <v>2178</v>
      </c>
      <c r="G2031" s="3">
        <v>0.25</v>
      </c>
    </row>
    <row r="2032" spans="6:7" ht="15" x14ac:dyDescent="0.25">
      <c r="F2032" s="3" t="s">
        <v>2179</v>
      </c>
      <c r="G2032" s="3">
        <v>0.35</v>
      </c>
    </row>
    <row r="2033" spans="6:7" ht="15" x14ac:dyDescent="0.25">
      <c r="F2033" s="3" t="s">
        <v>2180</v>
      </c>
      <c r="G2033" s="3">
        <v>1</v>
      </c>
    </row>
    <row r="2034" spans="6:7" ht="15" x14ac:dyDescent="0.25">
      <c r="F2034" s="3" t="s">
        <v>2181</v>
      </c>
      <c r="G2034" s="3">
        <v>1</v>
      </c>
    </row>
    <row r="2035" spans="6:7" ht="15" x14ac:dyDescent="0.25">
      <c r="F2035" s="3" t="s">
        <v>2182</v>
      </c>
      <c r="G2035" s="3">
        <v>1</v>
      </c>
    </row>
    <row r="2036" spans="6:7" ht="15" x14ac:dyDescent="0.25">
      <c r="F2036" s="3" t="s">
        <v>2183</v>
      </c>
      <c r="G2036" s="3">
        <v>3.5000000000000003E-2</v>
      </c>
    </row>
    <row r="2037" spans="6:7" ht="15" x14ac:dyDescent="0.25">
      <c r="F2037" s="3" t="s">
        <v>2184</v>
      </c>
      <c r="G2037" s="3">
        <v>0.04</v>
      </c>
    </row>
    <row r="2038" spans="6:7" ht="15" x14ac:dyDescent="0.25">
      <c r="F2038" s="3" t="s">
        <v>2185</v>
      </c>
      <c r="G2038" s="3">
        <v>2.0000000000000002E-5</v>
      </c>
    </row>
    <row r="2039" spans="6:7" ht="15" x14ac:dyDescent="0.25">
      <c r="F2039" s="3" t="s">
        <v>2186</v>
      </c>
      <c r="G2039" s="3">
        <v>1.1E-4</v>
      </c>
    </row>
    <row r="2040" spans="6:7" ht="15" x14ac:dyDescent="0.25">
      <c r="F2040" s="3" t="s">
        <v>2187</v>
      </c>
      <c r="G2040" s="3">
        <v>3.8000000000000002E-4</v>
      </c>
    </row>
    <row r="2041" spans="6:7" ht="15" x14ac:dyDescent="0.25">
      <c r="F2041" s="3" t="s">
        <v>2188</v>
      </c>
      <c r="G2041" s="3">
        <v>2.4395999999999999E-4</v>
      </c>
    </row>
    <row r="2042" spans="6:7" ht="15" x14ac:dyDescent="0.25">
      <c r="F2042" s="3" t="s">
        <v>2189</v>
      </c>
      <c r="G2042" s="3">
        <v>1.04028E-3</v>
      </c>
    </row>
    <row r="2043" spans="6:7" ht="15" x14ac:dyDescent="0.25">
      <c r="F2043" s="3" t="s">
        <v>2190</v>
      </c>
      <c r="G2043" s="3">
        <v>2.1837800000000002E-3</v>
      </c>
    </row>
    <row r="2044" spans="6:7" ht="15" x14ac:dyDescent="0.25">
      <c r="F2044" s="3" t="s">
        <v>2191</v>
      </c>
      <c r="G2044" s="3">
        <v>4.7100000000000001E-4</v>
      </c>
    </row>
    <row r="2045" spans="6:7" ht="15" x14ac:dyDescent="0.25">
      <c r="F2045" s="3" t="s">
        <v>2192</v>
      </c>
      <c r="G2045" s="3">
        <v>6.1079000000000005E-4</v>
      </c>
    </row>
    <row r="2046" spans="6:7" ht="15" x14ac:dyDescent="0.25">
      <c r="F2046" s="3" t="s">
        <v>2193</v>
      </c>
      <c r="G2046" s="3">
        <v>1.0469500000000001E-3</v>
      </c>
    </row>
    <row r="2047" spans="6:7" ht="15" x14ac:dyDescent="0.25">
      <c r="F2047" s="3" t="s">
        <v>2194</v>
      </c>
      <c r="G2047" s="3">
        <v>6.7376999999999997E-4</v>
      </c>
    </row>
    <row r="2048" spans="6:7" ht="15" x14ac:dyDescent="0.25">
      <c r="F2048" s="3" t="s">
        <v>2195</v>
      </c>
      <c r="G2048" s="3">
        <v>0.27670569</v>
      </c>
    </row>
    <row r="2049" spans="6:7" ht="15" x14ac:dyDescent="0.25">
      <c r="F2049" s="3" t="s">
        <v>2196</v>
      </c>
      <c r="G2049" s="3">
        <v>3.8699999999999997E-4</v>
      </c>
    </row>
    <row r="2050" spans="6:7" ht="15" x14ac:dyDescent="0.25">
      <c r="F2050" s="3" t="s">
        <v>2197</v>
      </c>
      <c r="G2050" s="3">
        <v>6.7599999999999995E-4</v>
      </c>
    </row>
    <row r="2051" spans="6:7" ht="15" x14ac:dyDescent="0.25">
      <c r="F2051" s="3" t="s">
        <v>2198</v>
      </c>
      <c r="G2051" s="3">
        <v>0.23375099999999999</v>
      </c>
    </row>
    <row r="2052" spans="6:7" ht="15" x14ac:dyDescent="0.25">
      <c r="F2052" s="3" t="s">
        <v>2199</v>
      </c>
      <c r="G2052" s="3">
        <v>1.03E-4</v>
      </c>
    </row>
    <row r="2053" spans="6:7" ht="15" x14ac:dyDescent="0.25">
      <c r="F2053" s="3" t="s">
        <v>2200</v>
      </c>
      <c r="G2053" s="3">
        <v>2.0599999999999999E-4</v>
      </c>
    </row>
    <row r="2054" spans="6:7" ht="15" x14ac:dyDescent="0.25">
      <c r="F2054" s="3" t="s">
        <v>2201</v>
      </c>
      <c r="G2054" s="3">
        <v>3.0899999999999998E-4</v>
      </c>
    </row>
    <row r="2055" spans="6:7" ht="15" x14ac:dyDescent="0.25">
      <c r="F2055" s="3" t="s">
        <v>2202</v>
      </c>
      <c r="G2055" s="3">
        <v>4.1199999999999999E-4</v>
      </c>
    </row>
    <row r="2056" spans="6:7" ht="15" x14ac:dyDescent="0.25">
      <c r="F2056" s="3" t="s">
        <v>2203</v>
      </c>
      <c r="G2056" s="3">
        <v>5.1500000000000005E-4</v>
      </c>
    </row>
    <row r="2057" spans="6:7" ht="15" x14ac:dyDescent="0.25">
      <c r="F2057" s="3" t="s">
        <v>2204</v>
      </c>
      <c r="G2057" s="3">
        <v>6.2100000000000002E-4</v>
      </c>
    </row>
    <row r="2058" spans="6:7" ht="15" x14ac:dyDescent="0.25">
      <c r="F2058" s="3" t="s">
        <v>2205</v>
      </c>
      <c r="G2058" s="3">
        <v>9.1799999999999998E-4</v>
      </c>
    </row>
    <row r="2059" spans="6:7" ht="15" x14ac:dyDescent="0.25">
      <c r="F2059" s="3" t="s">
        <v>2206</v>
      </c>
      <c r="G2059" s="3">
        <v>1.395E-3</v>
      </c>
    </row>
    <row r="2060" spans="6:7" ht="15" x14ac:dyDescent="0.25">
      <c r="F2060" s="3" t="s">
        <v>2207</v>
      </c>
      <c r="G2060" s="3">
        <v>1.8744E-3</v>
      </c>
    </row>
    <row r="2061" spans="6:7" ht="15" x14ac:dyDescent="0.25">
      <c r="F2061" s="3" t="s">
        <v>2208</v>
      </c>
      <c r="G2061" s="3">
        <v>3.4499999999999999E-3</v>
      </c>
    </row>
    <row r="2062" spans="6:7" ht="15" x14ac:dyDescent="0.25">
      <c r="F2062" s="3" t="s">
        <v>2209</v>
      </c>
      <c r="G2062" s="3">
        <v>5.8700000000000002E-3</v>
      </c>
    </row>
    <row r="2063" spans="6:7" ht="15" x14ac:dyDescent="0.25">
      <c r="F2063" s="3" t="s">
        <v>2210</v>
      </c>
      <c r="G2063" s="3">
        <v>8.2730000000000008E-3</v>
      </c>
    </row>
    <row r="2064" spans="6:7" ht="15" x14ac:dyDescent="0.25">
      <c r="F2064" s="3" t="s">
        <v>2211</v>
      </c>
      <c r="G2064" s="3">
        <v>6.3400000000000001E-3</v>
      </c>
    </row>
    <row r="2065" spans="6:7" ht="15" x14ac:dyDescent="0.25">
      <c r="F2065" s="3" t="s">
        <v>2212</v>
      </c>
      <c r="G2065" s="3">
        <v>1.2189999999999999E-2</v>
      </c>
    </row>
    <row r="2066" spans="6:7" ht="15" x14ac:dyDescent="0.25">
      <c r="F2066" s="3" t="s">
        <v>2213</v>
      </c>
      <c r="G2066" s="3">
        <v>1.1367E-2</v>
      </c>
    </row>
    <row r="2067" spans="6:7" ht="15" x14ac:dyDescent="0.25">
      <c r="F2067" s="3" t="s">
        <v>2214</v>
      </c>
      <c r="G2067" s="3">
        <v>1.702E-2</v>
      </c>
    </row>
    <row r="2068" spans="6:7" ht="15" x14ac:dyDescent="0.25">
      <c r="F2068" s="3" t="s">
        <v>2215</v>
      </c>
      <c r="G2068" s="3">
        <v>2.0590000000000001E-2</v>
      </c>
    </row>
    <row r="2069" spans="6:7" ht="15" x14ac:dyDescent="0.25">
      <c r="F2069" s="3" t="s">
        <v>2216</v>
      </c>
      <c r="G2069" s="3">
        <v>2.6075999999999998E-2</v>
      </c>
    </row>
    <row r="2070" spans="6:7" ht="15" x14ac:dyDescent="0.25">
      <c r="F2070" s="3" t="s">
        <v>2217</v>
      </c>
      <c r="G2070" s="3">
        <v>2.7847E-2</v>
      </c>
    </row>
    <row r="2071" spans="6:7" ht="15" x14ac:dyDescent="0.25">
      <c r="F2071" s="3" t="s">
        <v>2218</v>
      </c>
      <c r="G2071" s="3">
        <v>4.0899999999999999E-2</v>
      </c>
    </row>
    <row r="2072" spans="6:7" ht="15" x14ac:dyDescent="0.25">
      <c r="F2072" s="3" t="s">
        <v>2219</v>
      </c>
      <c r="G2072" s="3">
        <v>4.0189000000000002E-2</v>
      </c>
    </row>
    <row r="2073" spans="6:7" ht="15" x14ac:dyDescent="0.25">
      <c r="F2073" s="3" t="s">
        <v>2220</v>
      </c>
      <c r="G2073" s="3">
        <v>3.7468000000000001E-2</v>
      </c>
    </row>
    <row r="2074" spans="6:7" ht="15" x14ac:dyDescent="0.25">
      <c r="F2074" s="3" t="s">
        <v>2221</v>
      </c>
      <c r="G2074" s="3">
        <v>8.4900000000000003E-2</v>
      </c>
    </row>
    <row r="2075" spans="6:7" ht="15" x14ac:dyDescent="0.25">
      <c r="F2075" s="3" t="s">
        <v>2222</v>
      </c>
      <c r="G2075" s="3">
        <v>8.276E-2</v>
      </c>
    </row>
    <row r="2076" spans="6:7" ht="15" x14ac:dyDescent="0.25">
      <c r="F2076" s="3" t="s">
        <v>2223</v>
      </c>
      <c r="G2076" s="3">
        <v>3.0699999999999998E-3</v>
      </c>
    </row>
    <row r="2077" spans="6:7" ht="15" x14ac:dyDescent="0.25">
      <c r="F2077" s="3" t="s">
        <v>2224</v>
      </c>
      <c r="G2077" s="3">
        <v>4.4450000000000002E-3</v>
      </c>
    </row>
    <row r="2078" spans="6:7" ht="15" x14ac:dyDescent="0.25">
      <c r="F2078" s="3" t="s">
        <v>2225</v>
      </c>
      <c r="G2078" s="3">
        <v>7.5560000000000002E-3</v>
      </c>
    </row>
    <row r="2079" spans="6:7" ht="15" x14ac:dyDescent="0.25">
      <c r="F2079" s="3" t="s">
        <v>2226</v>
      </c>
      <c r="G2079" s="3">
        <v>1.321E-2</v>
      </c>
    </row>
    <row r="2080" spans="6:7" ht="15" x14ac:dyDescent="0.25">
      <c r="F2080" s="3" t="s">
        <v>2227</v>
      </c>
      <c r="G2080" s="3">
        <v>2.375E-2</v>
      </c>
    </row>
    <row r="2081" spans="6:7" ht="15" x14ac:dyDescent="0.25">
      <c r="F2081" s="3" t="s">
        <v>2228</v>
      </c>
      <c r="G2081" s="3">
        <v>4.3909999999999998E-2</v>
      </c>
    </row>
    <row r="2082" spans="6:7" ht="15" x14ac:dyDescent="0.25">
      <c r="F2082" s="3" t="s">
        <v>2229</v>
      </c>
      <c r="G2082" s="3">
        <v>8.3487000000000006E-2</v>
      </c>
    </row>
    <row r="2083" spans="6:7" ht="15" x14ac:dyDescent="0.25">
      <c r="F2083" s="3" t="s">
        <v>2230</v>
      </c>
      <c r="G2083" s="3">
        <v>0.16323699999999999</v>
      </c>
    </row>
    <row r="2084" spans="6:7" ht="15" x14ac:dyDescent="0.25">
      <c r="F2084" s="3" t="s">
        <v>2231</v>
      </c>
      <c r="G2084" s="3">
        <v>0.25</v>
      </c>
    </row>
    <row r="2085" spans="6:7" ht="15" x14ac:dyDescent="0.25">
      <c r="F2085" s="3" t="s">
        <v>2232</v>
      </c>
      <c r="G2085" s="3">
        <v>0.35</v>
      </c>
    </row>
    <row r="2086" spans="6:7" ht="15" x14ac:dyDescent="0.25">
      <c r="F2086" s="3" t="s">
        <v>2233</v>
      </c>
      <c r="G2086" s="3">
        <v>1</v>
      </c>
    </row>
    <row r="2087" spans="6:7" ht="15" x14ac:dyDescent="0.25">
      <c r="F2087" s="3" t="s">
        <v>2234</v>
      </c>
      <c r="G2087" s="3">
        <v>1</v>
      </c>
    </row>
    <row r="2088" spans="6:7" ht="15" x14ac:dyDescent="0.25">
      <c r="F2088" s="3" t="s">
        <v>2235</v>
      </c>
      <c r="G2088" s="3">
        <v>1</v>
      </c>
    </row>
    <row r="2089" spans="6:7" ht="15" x14ac:dyDescent="0.25">
      <c r="F2089" s="3" t="s">
        <v>2236</v>
      </c>
      <c r="G2089" s="3">
        <v>1.2899999999999999E-3</v>
      </c>
    </row>
    <row r="2090" spans="6:7" ht="15" x14ac:dyDescent="0.25">
      <c r="F2090" s="3" t="s">
        <v>2237</v>
      </c>
      <c r="G2090" s="3">
        <v>4.9399999999999999E-3</v>
      </c>
    </row>
    <row r="2091" spans="6:7" ht="15" x14ac:dyDescent="0.25">
      <c r="F2091" s="3" t="s">
        <v>2238</v>
      </c>
      <c r="G2091" s="3">
        <v>1.0619999999999999E-2</v>
      </c>
    </row>
    <row r="2092" spans="6:7" ht="15" x14ac:dyDescent="0.25">
      <c r="F2092" s="3" t="s">
        <v>2239</v>
      </c>
      <c r="G2092" s="3">
        <v>1.6080000000000001E-2</v>
      </c>
    </row>
    <row r="2093" spans="6:7" ht="15" x14ac:dyDescent="0.25">
      <c r="F2093" s="3" t="s">
        <v>2240</v>
      </c>
      <c r="G2093" s="3">
        <v>2.3890000000000002E-2</v>
      </c>
    </row>
    <row r="2094" spans="6:7" ht="15" x14ac:dyDescent="0.25">
      <c r="F2094" s="3" t="s">
        <v>2241</v>
      </c>
      <c r="G2094" s="3">
        <v>3.1260000000000003E-2</v>
      </c>
    </row>
    <row r="2095" spans="6:7" ht="15" x14ac:dyDescent="0.25">
      <c r="F2095" s="3" t="s">
        <v>2242</v>
      </c>
      <c r="G2095" s="3">
        <v>0.15260000000000001</v>
      </c>
    </row>
    <row r="2096" spans="6:7" ht="15" x14ac:dyDescent="0.25">
      <c r="F2096" s="3" t="s">
        <v>2243</v>
      </c>
      <c r="G2096" s="3">
        <v>0.17806</v>
      </c>
    </row>
    <row r="2097" spans="6:7" ht="15" x14ac:dyDescent="0.25">
      <c r="F2097" s="3" t="s">
        <v>2244</v>
      </c>
      <c r="G2097" s="3">
        <v>1</v>
      </c>
    </row>
    <row r="2098" spans="6:7" ht="15" x14ac:dyDescent="0.25">
      <c r="F2098" s="3" t="s">
        <v>2245</v>
      </c>
      <c r="G2098" s="3">
        <v>1</v>
      </c>
    </row>
    <row r="2099" spans="6:7" ht="15" x14ac:dyDescent="0.25">
      <c r="F2099" s="3" t="s">
        <v>2246</v>
      </c>
      <c r="G2099" s="3">
        <v>1</v>
      </c>
    </row>
    <row r="2100" spans="6:7" ht="15" x14ac:dyDescent="0.25">
      <c r="F2100" s="3" t="s">
        <v>2247</v>
      </c>
      <c r="G2100" s="3">
        <v>0.16323687000000001</v>
      </c>
    </row>
    <row r="2101" spans="6:7" ht="15" x14ac:dyDescent="0.25">
      <c r="F2101" s="3" t="s">
        <v>2248</v>
      </c>
      <c r="G2101" s="3">
        <v>1.03E-4</v>
      </c>
    </row>
    <row r="2102" spans="6:7" ht="15" x14ac:dyDescent="0.25">
      <c r="F2102" s="3" t="s">
        <v>2249</v>
      </c>
      <c r="G2102" s="3">
        <v>2.0599999999999999E-4</v>
      </c>
    </row>
    <row r="2103" spans="6:7" ht="15" x14ac:dyDescent="0.25">
      <c r="F2103" s="3" t="s">
        <v>2250</v>
      </c>
      <c r="G2103" s="3">
        <v>3.0899999999999998E-4</v>
      </c>
    </row>
    <row r="2104" spans="6:7" ht="15" x14ac:dyDescent="0.25">
      <c r="F2104" s="3" t="s">
        <v>2251</v>
      </c>
      <c r="G2104" s="3">
        <v>4.1199999999999999E-4</v>
      </c>
    </row>
    <row r="2105" spans="6:7" ht="15" x14ac:dyDescent="0.25">
      <c r="F2105" s="3" t="s">
        <v>2252</v>
      </c>
      <c r="G2105" s="3">
        <v>5.1500000000000005E-4</v>
      </c>
    </row>
    <row r="2106" spans="6:7" ht="15" x14ac:dyDescent="0.25">
      <c r="F2106" s="3" t="s">
        <v>2253</v>
      </c>
      <c r="G2106" s="3">
        <v>6.2074999999999999E-4</v>
      </c>
    </row>
    <row r="2107" spans="6:7" ht="15" x14ac:dyDescent="0.25">
      <c r="F2107" s="3" t="s">
        <v>2254</v>
      </c>
      <c r="G2107" s="3">
        <v>9.1759000000000003E-4</v>
      </c>
    </row>
    <row r="2108" spans="6:7" ht="15" x14ac:dyDescent="0.25">
      <c r="F2108" s="3" t="s">
        <v>2255</v>
      </c>
      <c r="G2108" s="3">
        <v>1.3948400000000001E-3</v>
      </c>
    </row>
    <row r="2109" spans="6:7" ht="15" x14ac:dyDescent="0.25">
      <c r="F2109" s="3" t="s">
        <v>2256</v>
      </c>
      <c r="G2109" s="3">
        <v>2.1246300000000002E-3</v>
      </c>
    </row>
    <row r="2110" spans="6:7" ht="15" x14ac:dyDescent="0.25">
      <c r="F2110" s="3" t="s">
        <v>2257</v>
      </c>
      <c r="G2110" s="3">
        <v>3.07018E-3</v>
      </c>
    </row>
    <row r="2111" spans="6:7" ht="15" x14ac:dyDescent="0.25">
      <c r="F2111" s="3" t="s">
        <v>2258</v>
      </c>
      <c r="G2111" s="3">
        <v>4.4445400000000003E-3</v>
      </c>
    </row>
    <row r="2112" spans="6:7" ht="15" x14ac:dyDescent="0.25">
      <c r="F2112" s="3" t="s">
        <v>2259</v>
      </c>
      <c r="G2112" s="3">
        <v>7.5560000000000002E-3</v>
      </c>
    </row>
    <row r="2113" spans="6:7" ht="15" x14ac:dyDescent="0.25">
      <c r="F2113" s="3" t="s">
        <v>2260</v>
      </c>
      <c r="G2113" s="3">
        <v>1.3210009999999999E-2</v>
      </c>
    </row>
    <row r="2114" spans="6:7" ht="15" x14ac:dyDescent="0.25">
      <c r="F2114" s="3" t="s">
        <v>2261</v>
      </c>
      <c r="G2114" s="3">
        <v>2.3749880000000001E-2</v>
      </c>
    </row>
    <row r="2115" spans="6:7" ht="15" x14ac:dyDescent="0.25">
      <c r="F2115" s="3" t="s">
        <v>2262</v>
      </c>
      <c r="G2115" s="3">
        <v>4.3910339999999999E-2</v>
      </c>
    </row>
    <row r="2116" spans="6:7" ht="15" x14ac:dyDescent="0.25">
      <c r="F2116" s="3" t="s">
        <v>2263</v>
      </c>
      <c r="G2116" s="3">
        <v>8.3487039999999998E-2</v>
      </c>
    </row>
    <row r="2117" spans="6:7" ht="15" x14ac:dyDescent="0.25">
      <c r="F2117" s="3" t="s">
        <v>2264</v>
      </c>
      <c r="G2117" s="3">
        <v>0.25</v>
      </c>
    </row>
    <row r="2118" spans="6:7" ht="15" x14ac:dyDescent="0.25">
      <c r="F2118" s="3" t="s">
        <v>2265</v>
      </c>
      <c r="G2118" s="3">
        <v>0.35</v>
      </c>
    </row>
    <row r="2119" spans="6:7" ht="15" x14ac:dyDescent="0.25">
      <c r="F2119" s="3" t="s">
        <v>2266</v>
      </c>
      <c r="G2119" s="3">
        <v>1</v>
      </c>
    </row>
    <row r="2120" spans="6:7" ht="15" x14ac:dyDescent="0.25">
      <c r="F2120" s="3" t="s">
        <v>2267</v>
      </c>
      <c r="G2120" s="3">
        <v>1</v>
      </c>
    </row>
    <row r="2121" spans="6:7" ht="15" x14ac:dyDescent="0.25">
      <c r="F2121" s="3" t="s">
        <v>2268</v>
      </c>
      <c r="G2121" s="3">
        <v>1</v>
      </c>
    </row>
    <row r="2122" spans="6:7" ht="15" x14ac:dyDescent="0.25">
      <c r="F2122" s="3" t="s">
        <v>2269</v>
      </c>
      <c r="G2122" s="3">
        <v>1.03E-4</v>
      </c>
    </row>
    <row r="2123" spans="6:7" ht="15" x14ac:dyDescent="0.25">
      <c r="F2123" s="3" t="s">
        <v>2270</v>
      </c>
      <c r="G2123" s="3">
        <v>2.0599999999999999E-4</v>
      </c>
    </row>
    <row r="2124" spans="6:7" ht="15" x14ac:dyDescent="0.25">
      <c r="F2124" s="3" t="s">
        <v>2271</v>
      </c>
      <c r="G2124" s="3">
        <v>3.0899999999999998E-4</v>
      </c>
    </row>
    <row r="2125" spans="6:7" ht="15" x14ac:dyDescent="0.25">
      <c r="F2125" s="3" t="s">
        <v>2272</v>
      </c>
      <c r="G2125" s="3">
        <v>4.1199999999999999E-4</v>
      </c>
    </row>
    <row r="2126" spans="6:7" ht="15" x14ac:dyDescent="0.25">
      <c r="F2126" s="3" t="s">
        <v>2273</v>
      </c>
      <c r="G2126" s="3">
        <v>5.1500000000000005E-4</v>
      </c>
    </row>
    <row r="2127" spans="6:7" ht="15" x14ac:dyDescent="0.25">
      <c r="F2127" s="3" t="s">
        <v>2274</v>
      </c>
      <c r="G2127" s="3">
        <v>6.2074999999999999E-4</v>
      </c>
    </row>
    <row r="2128" spans="6:7" ht="15" x14ac:dyDescent="0.25">
      <c r="F2128" s="3" t="s">
        <v>2275</v>
      </c>
      <c r="G2128" s="3">
        <v>9.1759000000000003E-4</v>
      </c>
    </row>
    <row r="2129" spans="6:7" ht="15" x14ac:dyDescent="0.25">
      <c r="F2129" s="3" t="s">
        <v>2276</v>
      </c>
      <c r="G2129" s="3">
        <v>1.3948400000000001E-3</v>
      </c>
    </row>
    <row r="2130" spans="6:7" ht="15" x14ac:dyDescent="0.25">
      <c r="F2130" s="3" t="s">
        <v>2277</v>
      </c>
      <c r="G2130" s="3">
        <v>2.1246300000000002E-3</v>
      </c>
    </row>
    <row r="2131" spans="6:7" ht="15" x14ac:dyDescent="0.25">
      <c r="F2131" s="3" t="s">
        <v>2278</v>
      </c>
      <c r="G2131" s="3">
        <v>3.07018E-3</v>
      </c>
    </row>
    <row r="2132" spans="6:7" ht="15" x14ac:dyDescent="0.25">
      <c r="F2132" s="3" t="s">
        <v>2279</v>
      </c>
      <c r="G2132" s="3">
        <v>4.4445400000000003E-3</v>
      </c>
    </row>
    <row r="2133" spans="6:7" ht="15" x14ac:dyDescent="0.25">
      <c r="F2133" s="3" t="s">
        <v>2280</v>
      </c>
      <c r="G2133" s="3">
        <v>7.5560000000000002E-3</v>
      </c>
    </row>
    <row r="2134" spans="6:7" ht="15" x14ac:dyDescent="0.25">
      <c r="F2134" s="3" t="s">
        <v>2281</v>
      </c>
      <c r="G2134" s="3">
        <v>1.3210009999999999E-2</v>
      </c>
    </row>
    <row r="2135" spans="6:7" ht="15" x14ac:dyDescent="0.25">
      <c r="F2135" s="3" t="s">
        <v>2282</v>
      </c>
      <c r="G2135" s="3">
        <v>2.3749880000000001E-2</v>
      </c>
    </row>
    <row r="2136" spans="6:7" ht="15" x14ac:dyDescent="0.25">
      <c r="F2136" s="3" t="s">
        <v>2283</v>
      </c>
      <c r="G2136" s="3">
        <v>4.3910339999999999E-2</v>
      </c>
    </row>
    <row r="2137" spans="6:7" ht="15" x14ac:dyDescent="0.25">
      <c r="F2137" s="3" t="s">
        <v>2284</v>
      </c>
      <c r="G2137" s="3">
        <v>8.3487039999999998E-2</v>
      </c>
    </row>
    <row r="2138" spans="6:7" ht="15" x14ac:dyDescent="0.25">
      <c r="F2138" s="3" t="s">
        <v>2285</v>
      </c>
      <c r="G2138" s="3">
        <v>0.16323687000000001</v>
      </c>
    </row>
    <row r="2139" spans="6:7" ht="15" x14ac:dyDescent="0.25">
      <c r="F2139" s="3" t="s">
        <v>2286</v>
      </c>
      <c r="G2139" s="3">
        <v>0.25</v>
      </c>
    </row>
    <row r="2140" spans="6:7" ht="15" x14ac:dyDescent="0.25">
      <c r="F2140" s="3" t="s">
        <v>2287</v>
      </c>
      <c r="G2140" s="3">
        <v>0.35</v>
      </c>
    </row>
    <row r="2141" spans="6:7" ht="15" x14ac:dyDescent="0.25">
      <c r="F2141" s="3" t="s">
        <v>2288</v>
      </c>
      <c r="G2141" s="3">
        <v>1</v>
      </c>
    </row>
    <row r="2142" spans="6:7" ht="15" x14ac:dyDescent="0.25">
      <c r="F2142" s="3" t="s">
        <v>2289</v>
      </c>
      <c r="G2142" s="3">
        <v>1</v>
      </c>
    </row>
    <row r="2143" spans="6:7" ht="15" x14ac:dyDescent="0.25">
      <c r="F2143" s="3" t="s">
        <v>2290</v>
      </c>
      <c r="G2143" s="3">
        <v>1</v>
      </c>
    </row>
    <row r="2144" spans="6:7" ht="15" x14ac:dyDescent="0.25">
      <c r="F2144" s="3" t="s">
        <v>2291</v>
      </c>
      <c r="G2144" s="3">
        <v>1.03E-4</v>
      </c>
    </row>
    <row r="2145" spans="6:7" ht="15" x14ac:dyDescent="0.25">
      <c r="F2145" s="3" t="s">
        <v>2292</v>
      </c>
      <c r="G2145" s="3">
        <v>2.0599999999999999E-4</v>
      </c>
    </row>
    <row r="2146" spans="6:7" ht="15" x14ac:dyDescent="0.25">
      <c r="F2146" s="3" t="s">
        <v>2293</v>
      </c>
      <c r="G2146" s="3">
        <v>3.0899999999999998E-4</v>
      </c>
    </row>
    <row r="2147" spans="6:7" ht="15" x14ac:dyDescent="0.25">
      <c r="F2147" s="3" t="s">
        <v>2294</v>
      </c>
      <c r="G2147" s="3">
        <v>4.1199999999999999E-4</v>
      </c>
    </row>
    <row r="2148" spans="6:7" ht="15" x14ac:dyDescent="0.25">
      <c r="F2148" s="3" t="s">
        <v>2295</v>
      </c>
      <c r="G2148" s="3">
        <v>5.1500000000000005E-4</v>
      </c>
    </row>
    <row r="2149" spans="6:7" ht="15" x14ac:dyDescent="0.25">
      <c r="F2149" s="3" t="s">
        <v>2296</v>
      </c>
      <c r="G2149" s="3">
        <v>6.2074999999999999E-4</v>
      </c>
    </row>
    <row r="2150" spans="6:7" ht="15" x14ac:dyDescent="0.25">
      <c r="F2150" s="3" t="s">
        <v>2297</v>
      </c>
      <c r="G2150" s="3">
        <v>4.4445400000000003E-3</v>
      </c>
    </row>
    <row r="2151" spans="6:7" ht="15" x14ac:dyDescent="0.25">
      <c r="F2151" s="3" t="s">
        <v>2298</v>
      </c>
      <c r="G2151" s="3">
        <v>7.5560000000000002E-3</v>
      </c>
    </row>
    <row r="2152" spans="6:7" ht="15" x14ac:dyDescent="0.25">
      <c r="F2152" s="3" t="s">
        <v>2299</v>
      </c>
      <c r="G2152" s="3">
        <v>1.3948400000000001E-3</v>
      </c>
    </row>
    <row r="2153" spans="6:7" ht="15" x14ac:dyDescent="0.25">
      <c r="F2153" s="3" t="s">
        <v>2300</v>
      </c>
      <c r="G2153" s="3">
        <v>2.1246300000000002E-3</v>
      </c>
    </row>
    <row r="2154" spans="6:7" ht="15" x14ac:dyDescent="0.25">
      <c r="F2154" s="3" t="s">
        <v>2301</v>
      </c>
      <c r="G2154" s="3">
        <v>3.07018E-3</v>
      </c>
    </row>
    <row r="2155" spans="6:7" ht="15" x14ac:dyDescent="0.25">
      <c r="F2155" s="3" t="s">
        <v>2302</v>
      </c>
      <c r="G2155" s="3">
        <v>4.4445400000000003E-3</v>
      </c>
    </row>
    <row r="2156" spans="6:7" ht="15" x14ac:dyDescent="0.25">
      <c r="F2156" s="3" t="s">
        <v>2303</v>
      </c>
      <c r="G2156" s="3">
        <v>7.5560000000000002E-3</v>
      </c>
    </row>
    <row r="2157" spans="6:7" ht="15" x14ac:dyDescent="0.25">
      <c r="F2157" s="3" t="s">
        <v>2304</v>
      </c>
      <c r="G2157" s="3">
        <v>1.3210009999999999E-2</v>
      </c>
    </row>
    <row r="2158" spans="6:7" ht="15" x14ac:dyDescent="0.25">
      <c r="F2158" s="3" t="s">
        <v>2305</v>
      </c>
      <c r="G2158" s="3">
        <v>2.3749880000000001E-2</v>
      </c>
    </row>
    <row r="2159" spans="6:7" ht="15" x14ac:dyDescent="0.25">
      <c r="F2159" s="3" t="s">
        <v>2306</v>
      </c>
      <c r="G2159" s="3">
        <v>4.3910339999999999E-2</v>
      </c>
    </row>
    <row r="2160" spans="6:7" ht="15" x14ac:dyDescent="0.25">
      <c r="F2160" s="3" t="s">
        <v>2307</v>
      </c>
      <c r="G2160" s="3">
        <v>8.3487039999999998E-2</v>
      </c>
    </row>
    <row r="2161" spans="6:7" ht="15" x14ac:dyDescent="0.25">
      <c r="F2161" s="3" t="s">
        <v>2308</v>
      </c>
      <c r="G2161" s="3">
        <v>0.16323687000000001</v>
      </c>
    </row>
    <row r="2162" spans="6:7" ht="15" x14ac:dyDescent="0.25">
      <c r="F2162" s="3" t="s">
        <v>2309</v>
      </c>
      <c r="G2162" s="3">
        <v>0.25</v>
      </c>
    </row>
    <row r="2163" spans="6:7" ht="15" x14ac:dyDescent="0.25">
      <c r="F2163" s="3" t="s">
        <v>2310</v>
      </c>
      <c r="G2163" s="3">
        <v>0.35</v>
      </c>
    </row>
    <row r="2164" spans="6:7" ht="15" x14ac:dyDescent="0.25">
      <c r="F2164" s="3" t="s">
        <v>2311</v>
      </c>
      <c r="G2164" s="3">
        <v>1</v>
      </c>
    </row>
    <row r="2165" spans="6:7" ht="15" x14ac:dyDescent="0.25">
      <c r="F2165" s="3" t="s">
        <v>2312</v>
      </c>
      <c r="G2165" s="3">
        <v>1</v>
      </c>
    </row>
    <row r="2166" spans="6:7" ht="15" x14ac:dyDescent="0.25">
      <c r="F2166" s="3" t="s">
        <v>2313</v>
      </c>
      <c r="G2166" s="3">
        <v>1</v>
      </c>
    </row>
    <row r="2167" spans="6:7" ht="15" x14ac:dyDescent="0.25">
      <c r="F2167" s="3" t="s">
        <v>2314</v>
      </c>
      <c r="G2167" s="3">
        <v>6.2074999999999999E-4</v>
      </c>
    </row>
    <row r="2168" spans="6:7" ht="15" x14ac:dyDescent="0.25">
      <c r="F2168" s="3" t="s">
        <v>2315</v>
      </c>
      <c r="G2168" s="3">
        <v>9.1759000000000003E-4</v>
      </c>
    </row>
    <row r="2169" spans="6:7" ht="15" x14ac:dyDescent="0.25">
      <c r="F2169" s="3" t="s">
        <v>2316</v>
      </c>
      <c r="G2169" s="3">
        <v>1.3948400000000001E-3</v>
      </c>
    </row>
    <row r="2170" spans="6:7" ht="15" x14ac:dyDescent="0.25">
      <c r="F2170" s="3" t="s">
        <v>2317</v>
      </c>
      <c r="G2170" s="3">
        <v>2.1246300000000002E-3</v>
      </c>
    </row>
    <row r="2171" spans="6:7" ht="15" x14ac:dyDescent="0.25">
      <c r="F2171" s="3" t="s">
        <v>2318</v>
      </c>
      <c r="G2171" s="3">
        <v>3.07018E-3</v>
      </c>
    </row>
    <row r="2172" spans="6:7" ht="15" x14ac:dyDescent="0.25">
      <c r="F2172" s="3" t="s">
        <v>2319</v>
      </c>
      <c r="G2172" s="3">
        <v>4.4445400000000003E-3</v>
      </c>
    </row>
    <row r="2173" spans="6:7" ht="15" x14ac:dyDescent="0.25">
      <c r="F2173" s="3" t="s">
        <v>2320</v>
      </c>
      <c r="G2173" s="3">
        <v>7.5560000000000002E-3</v>
      </c>
    </row>
    <row r="2174" spans="6:7" ht="15" x14ac:dyDescent="0.25">
      <c r="F2174" s="3" t="s">
        <v>2321</v>
      </c>
      <c r="G2174" s="3">
        <v>1.3210009999999999E-2</v>
      </c>
    </row>
    <row r="2175" spans="6:7" ht="15" x14ac:dyDescent="0.25">
      <c r="F2175" s="3" t="s">
        <v>2322</v>
      </c>
      <c r="G2175" s="3">
        <v>2.3749880000000001E-2</v>
      </c>
    </row>
    <row r="2176" spans="6:7" ht="15" x14ac:dyDescent="0.25">
      <c r="F2176" s="3" t="s">
        <v>2323</v>
      </c>
      <c r="G2176" s="3">
        <v>4.3910339999999999E-2</v>
      </c>
    </row>
    <row r="2177" spans="6:7" ht="15" x14ac:dyDescent="0.25">
      <c r="F2177" s="3" t="s">
        <v>2324</v>
      </c>
      <c r="G2177" s="3">
        <v>8.3487039999999998E-2</v>
      </c>
    </row>
    <row r="2178" spans="6:7" ht="15" x14ac:dyDescent="0.25">
      <c r="F2178" s="3" t="s">
        <v>2325</v>
      </c>
      <c r="G2178" s="3">
        <v>0.16323687000000001</v>
      </c>
    </row>
    <row r="2179" spans="6:7" ht="15" x14ac:dyDescent="0.25">
      <c r="F2179" s="3" t="s">
        <v>2326</v>
      </c>
      <c r="G2179" s="3">
        <v>0.25</v>
      </c>
    </row>
    <row r="2180" spans="6:7" ht="15" x14ac:dyDescent="0.25">
      <c r="F2180" s="3" t="s">
        <v>2327</v>
      </c>
      <c r="G2180" s="3">
        <v>0.35</v>
      </c>
    </row>
    <row r="2181" spans="6:7" ht="15" x14ac:dyDescent="0.25">
      <c r="F2181" s="3" t="s">
        <v>2328</v>
      </c>
      <c r="G2181" s="3">
        <v>1</v>
      </c>
    </row>
    <row r="2182" spans="6:7" ht="15" x14ac:dyDescent="0.25">
      <c r="F2182" s="3" t="s">
        <v>2329</v>
      </c>
      <c r="G2182" s="3">
        <v>1</v>
      </c>
    </row>
    <row r="2183" spans="6:7" ht="15" x14ac:dyDescent="0.25">
      <c r="F2183" s="3" t="s">
        <v>2330</v>
      </c>
      <c r="G2183" s="3">
        <v>1</v>
      </c>
    </row>
    <row r="2184" spans="6:7" ht="15" x14ac:dyDescent="0.25">
      <c r="F2184" s="3" t="s">
        <v>2331</v>
      </c>
      <c r="G2184" s="3">
        <v>1.03E-4</v>
      </c>
    </row>
    <row r="2185" spans="6:7" ht="15" x14ac:dyDescent="0.25">
      <c r="F2185" s="3" t="s">
        <v>2332</v>
      </c>
      <c r="G2185" s="3">
        <v>2.0599999999999999E-4</v>
      </c>
    </row>
    <row r="2186" spans="6:7" ht="15" x14ac:dyDescent="0.25">
      <c r="F2186" s="3" t="s">
        <v>2333</v>
      </c>
      <c r="G2186" s="3">
        <v>3.0899999999999998E-4</v>
      </c>
    </row>
    <row r="2187" spans="6:7" ht="15" x14ac:dyDescent="0.25">
      <c r="F2187" s="3" t="s">
        <v>2334</v>
      </c>
      <c r="G2187" s="3">
        <v>4.1199999999999999E-4</v>
      </c>
    </row>
    <row r="2188" spans="6:7" ht="15" x14ac:dyDescent="0.25">
      <c r="F2188" s="3" t="s">
        <v>2335</v>
      </c>
      <c r="G2188" s="3">
        <v>5.1500000000000005E-4</v>
      </c>
    </row>
    <row r="2189" spans="6:7" ht="15" x14ac:dyDescent="0.25">
      <c r="F2189" s="3" t="s">
        <v>2336</v>
      </c>
      <c r="G2189" s="3">
        <v>6.2074999999999999E-4</v>
      </c>
    </row>
    <row r="2190" spans="6:7" ht="15" x14ac:dyDescent="0.25">
      <c r="F2190" s="3" t="s">
        <v>2337</v>
      </c>
      <c r="G2190" s="3">
        <v>9.1759000000000003E-4</v>
      </c>
    </row>
    <row r="2191" spans="6:7" ht="15" x14ac:dyDescent="0.25">
      <c r="F2191" s="3" t="s">
        <v>2338</v>
      </c>
      <c r="G2191" s="3">
        <v>1.3948400000000001E-3</v>
      </c>
    </row>
    <row r="2192" spans="6:7" ht="15" x14ac:dyDescent="0.25">
      <c r="F2192" s="3" t="s">
        <v>2339</v>
      </c>
      <c r="G2192" s="3">
        <v>2.1246300000000002E-3</v>
      </c>
    </row>
    <row r="2193" spans="6:7" ht="15" x14ac:dyDescent="0.25">
      <c r="F2193" s="3" t="s">
        <v>2340</v>
      </c>
      <c r="G2193" s="3">
        <v>3.07018E-3</v>
      </c>
    </row>
    <row r="2194" spans="6:7" ht="15" x14ac:dyDescent="0.25">
      <c r="F2194" s="3" t="s">
        <v>2341</v>
      </c>
      <c r="G2194" s="3">
        <v>4.4445400000000003E-3</v>
      </c>
    </row>
    <row r="2195" spans="6:7" ht="15" x14ac:dyDescent="0.25">
      <c r="F2195" s="3" t="s">
        <v>2342</v>
      </c>
      <c r="G2195" s="3">
        <v>7.5560000000000002E-3</v>
      </c>
    </row>
    <row r="2196" spans="6:7" ht="15" x14ac:dyDescent="0.25">
      <c r="F2196" s="3" t="s">
        <v>2343</v>
      </c>
      <c r="G2196" s="3">
        <v>1.3210009999999999E-2</v>
      </c>
    </row>
    <row r="2197" spans="6:7" ht="15" x14ac:dyDescent="0.25">
      <c r="F2197" s="3" t="s">
        <v>2344</v>
      </c>
      <c r="G2197" s="3">
        <v>2.3749880000000001E-2</v>
      </c>
    </row>
    <row r="2198" spans="6:7" ht="15" x14ac:dyDescent="0.25">
      <c r="F2198" s="3" t="s">
        <v>2345</v>
      </c>
      <c r="G2198" s="3">
        <v>4.3910339999999999E-2</v>
      </c>
    </row>
    <row r="2199" spans="6:7" ht="15" x14ac:dyDescent="0.25">
      <c r="F2199" s="3" t="s">
        <v>2346</v>
      </c>
      <c r="G2199" s="3">
        <v>8.3487039999999998E-2</v>
      </c>
    </row>
    <row r="2200" spans="6:7" ht="15" x14ac:dyDescent="0.25">
      <c r="F2200" s="3" t="s">
        <v>2347</v>
      </c>
      <c r="G2200" s="3">
        <v>0.16323687000000001</v>
      </c>
    </row>
    <row r="2201" spans="6:7" ht="15" x14ac:dyDescent="0.25">
      <c r="F2201" s="3" t="s">
        <v>2348</v>
      </c>
      <c r="G2201" s="3">
        <v>0.25</v>
      </c>
    </row>
    <row r="2202" spans="6:7" ht="15" x14ac:dyDescent="0.25">
      <c r="F2202" s="3" t="s">
        <v>2349</v>
      </c>
      <c r="G2202" s="3">
        <v>0.35</v>
      </c>
    </row>
    <row r="2203" spans="6:7" ht="15" x14ac:dyDescent="0.25">
      <c r="F2203" s="3" t="s">
        <v>2350</v>
      </c>
      <c r="G2203" s="3">
        <v>1</v>
      </c>
    </row>
    <row r="2204" spans="6:7" ht="15" x14ac:dyDescent="0.25">
      <c r="F2204" s="3" t="s">
        <v>2351</v>
      </c>
      <c r="G2204" s="3">
        <v>1</v>
      </c>
    </row>
    <row r="2205" spans="6:7" ht="15" x14ac:dyDescent="0.25">
      <c r="F2205" s="3" t="s">
        <v>2352</v>
      </c>
      <c r="G2205" s="3">
        <v>1</v>
      </c>
    </row>
    <row r="2206" spans="6:7" ht="15" x14ac:dyDescent="0.25">
      <c r="F2206" s="3" t="s">
        <v>2353</v>
      </c>
      <c r="G2206" s="3">
        <v>1.03E-4</v>
      </c>
    </row>
    <row r="2207" spans="6:7" ht="15" x14ac:dyDescent="0.25">
      <c r="F2207" s="3" t="s">
        <v>2354</v>
      </c>
      <c r="G2207" s="3">
        <v>2.0599999999999999E-4</v>
      </c>
    </row>
    <row r="2208" spans="6:7" ht="15" x14ac:dyDescent="0.25">
      <c r="F2208" s="3" t="s">
        <v>2355</v>
      </c>
      <c r="G2208" s="3">
        <v>3.0899999999999998E-4</v>
      </c>
    </row>
    <row r="2209" spans="6:7" ht="15" x14ac:dyDescent="0.25">
      <c r="F2209" s="3" t="s">
        <v>2356</v>
      </c>
      <c r="G2209" s="3">
        <v>4.1199999999999999E-4</v>
      </c>
    </row>
    <row r="2210" spans="6:7" ht="15" x14ac:dyDescent="0.25">
      <c r="F2210" s="3" t="s">
        <v>2357</v>
      </c>
      <c r="G2210" s="3">
        <v>5.1500000000000005E-4</v>
      </c>
    </row>
    <row r="2211" spans="6:7" ht="15" x14ac:dyDescent="0.25">
      <c r="F2211" s="3" t="s">
        <v>2358</v>
      </c>
      <c r="G2211" s="3">
        <v>6.2074999999999999E-4</v>
      </c>
    </row>
    <row r="2212" spans="6:7" ht="15" x14ac:dyDescent="0.25">
      <c r="F2212" s="3" t="s">
        <v>2359</v>
      </c>
      <c r="G2212" s="3">
        <v>9.1759000000000003E-4</v>
      </c>
    </row>
    <row r="2213" spans="6:7" ht="15" x14ac:dyDescent="0.25">
      <c r="F2213" s="3" t="s">
        <v>2360</v>
      </c>
      <c r="G2213" s="3">
        <v>1.3948400000000001E-3</v>
      </c>
    </row>
    <row r="2214" spans="6:7" ht="15" x14ac:dyDescent="0.25">
      <c r="F2214" s="3" t="s">
        <v>2361</v>
      </c>
      <c r="G2214" s="3">
        <v>2.1246300000000002E-3</v>
      </c>
    </row>
    <row r="2215" spans="6:7" ht="15" x14ac:dyDescent="0.25">
      <c r="F2215" s="3" t="s">
        <v>2362</v>
      </c>
      <c r="G2215" s="3">
        <v>3.07018E-3</v>
      </c>
    </row>
    <row r="2216" spans="6:7" ht="15" x14ac:dyDescent="0.25">
      <c r="F2216" s="3" t="s">
        <v>2363</v>
      </c>
      <c r="G2216" s="3">
        <v>4.4445400000000003E-3</v>
      </c>
    </row>
    <row r="2217" spans="6:7" ht="15" x14ac:dyDescent="0.25">
      <c r="F2217" s="3" t="s">
        <v>2364</v>
      </c>
      <c r="G2217" s="3">
        <v>7.5560000000000002E-3</v>
      </c>
    </row>
    <row r="2218" spans="6:7" ht="15" x14ac:dyDescent="0.25">
      <c r="F2218" s="3" t="s">
        <v>2365</v>
      </c>
      <c r="G2218" s="3">
        <v>1.3210009999999999E-2</v>
      </c>
    </row>
    <row r="2219" spans="6:7" ht="15" x14ac:dyDescent="0.25">
      <c r="F2219" s="3" t="s">
        <v>2366</v>
      </c>
      <c r="G2219" s="3">
        <v>2.3749880000000001E-2</v>
      </c>
    </row>
    <row r="2220" spans="6:7" ht="15" x14ac:dyDescent="0.25">
      <c r="F2220" s="3" t="s">
        <v>2367</v>
      </c>
      <c r="G2220" s="3">
        <v>4.3910339999999999E-2</v>
      </c>
    </row>
    <row r="2221" spans="6:7" ht="15" x14ac:dyDescent="0.25">
      <c r="F2221" s="3" t="s">
        <v>2368</v>
      </c>
      <c r="G2221" s="3">
        <v>8.3487039999999998E-2</v>
      </c>
    </row>
    <row r="2222" spans="6:7" ht="15" x14ac:dyDescent="0.25">
      <c r="F2222" s="3" t="s">
        <v>2369</v>
      </c>
      <c r="G2222" s="3">
        <v>0.16323687000000001</v>
      </c>
    </row>
    <row r="2223" spans="6:7" ht="15" x14ac:dyDescent="0.25">
      <c r="F2223" s="3" t="s">
        <v>2370</v>
      </c>
      <c r="G2223" s="3">
        <v>0.25</v>
      </c>
    </row>
    <row r="2224" spans="6:7" ht="15" x14ac:dyDescent="0.25">
      <c r="F2224" s="3" t="s">
        <v>2371</v>
      </c>
      <c r="G2224" s="3">
        <v>0.35</v>
      </c>
    </row>
    <row r="2225" spans="6:7" ht="15" x14ac:dyDescent="0.25">
      <c r="F2225" s="3" t="s">
        <v>2372</v>
      </c>
      <c r="G2225" s="3">
        <v>1</v>
      </c>
    </row>
    <row r="2226" spans="6:7" ht="15" x14ac:dyDescent="0.25">
      <c r="F2226" s="3" t="s">
        <v>2373</v>
      </c>
      <c r="G2226" s="3">
        <v>1</v>
      </c>
    </row>
    <row r="2227" spans="6:7" ht="15" x14ac:dyDescent="0.25">
      <c r="F2227" s="3" t="s">
        <v>2374</v>
      </c>
      <c r="G2227" s="3">
        <v>1</v>
      </c>
    </row>
    <row r="2228" spans="6:7" ht="15" x14ac:dyDescent="0.25">
      <c r="F2228" s="3" t="s">
        <v>2375</v>
      </c>
      <c r="G2228" s="3">
        <v>1.03E-4</v>
      </c>
    </row>
    <row r="2229" spans="6:7" ht="15" x14ac:dyDescent="0.25">
      <c r="F2229" s="3" t="s">
        <v>2376</v>
      </c>
      <c r="G2229" s="3">
        <v>2.0599999999999999E-4</v>
      </c>
    </row>
    <row r="2230" spans="6:7" ht="15" x14ac:dyDescent="0.25">
      <c r="F2230" s="3" t="s">
        <v>2377</v>
      </c>
      <c r="G2230" s="3">
        <v>3.0899999999999998E-4</v>
      </c>
    </row>
    <row r="2231" spans="6:7" ht="15" x14ac:dyDescent="0.25">
      <c r="F2231" s="3" t="s">
        <v>2378</v>
      </c>
      <c r="G2231" s="3">
        <v>4.1199999999999999E-4</v>
      </c>
    </row>
    <row r="2232" spans="6:7" ht="15" x14ac:dyDescent="0.25">
      <c r="F2232" s="3" t="s">
        <v>2379</v>
      </c>
      <c r="G2232" s="3">
        <v>5.1500000000000005E-4</v>
      </c>
    </row>
    <row r="2233" spans="6:7" ht="15" x14ac:dyDescent="0.25">
      <c r="F2233" s="3" t="s">
        <v>2380</v>
      </c>
      <c r="G2233" s="3">
        <v>6.2074999999999999E-4</v>
      </c>
    </row>
    <row r="2234" spans="6:7" ht="15" x14ac:dyDescent="0.25">
      <c r="F2234" s="3" t="s">
        <v>2381</v>
      </c>
      <c r="G2234" s="3">
        <v>9.1759000000000003E-4</v>
      </c>
    </row>
    <row r="2235" spans="6:7" ht="15" x14ac:dyDescent="0.25">
      <c r="F2235" s="3" t="s">
        <v>2382</v>
      </c>
      <c r="G2235" s="3">
        <v>1.3948400000000001E-3</v>
      </c>
    </row>
    <row r="2236" spans="6:7" ht="15" x14ac:dyDescent="0.25">
      <c r="F2236" s="3" t="s">
        <v>2383</v>
      </c>
      <c r="G2236" s="3">
        <v>2.1246300000000002E-3</v>
      </c>
    </row>
    <row r="2237" spans="6:7" ht="15" x14ac:dyDescent="0.25">
      <c r="F2237" s="3" t="s">
        <v>2384</v>
      </c>
      <c r="G2237" s="3">
        <v>3.07018E-3</v>
      </c>
    </row>
    <row r="2238" spans="6:7" ht="15" x14ac:dyDescent="0.25">
      <c r="F2238" s="3" t="s">
        <v>2385</v>
      </c>
      <c r="G2238" s="3">
        <v>4.4445400000000003E-3</v>
      </c>
    </row>
    <row r="2239" spans="6:7" ht="15" x14ac:dyDescent="0.25">
      <c r="F2239" s="3" t="s">
        <v>2386</v>
      </c>
      <c r="G2239" s="3">
        <v>7.5560000000000002E-3</v>
      </c>
    </row>
    <row r="2240" spans="6:7" ht="15" x14ac:dyDescent="0.25">
      <c r="F2240" s="3" t="s">
        <v>2387</v>
      </c>
      <c r="G2240" s="3">
        <v>1.3210009999999999E-2</v>
      </c>
    </row>
    <row r="2241" spans="6:7" ht="15" x14ac:dyDescent="0.25">
      <c r="F2241" s="3" t="s">
        <v>2388</v>
      </c>
      <c r="G2241" s="3">
        <v>2.3749880000000001E-2</v>
      </c>
    </row>
    <row r="2242" spans="6:7" ht="15" x14ac:dyDescent="0.25">
      <c r="F2242" s="3" t="s">
        <v>2389</v>
      </c>
      <c r="G2242" s="3">
        <v>4.3910339999999999E-2</v>
      </c>
    </row>
    <row r="2243" spans="6:7" ht="15" x14ac:dyDescent="0.25">
      <c r="F2243" s="3" t="s">
        <v>2390</v>
      </c>
      <c r="G2243" s="3">
        <v>8.3487039999999998E-2</v>
      </c>
    </row>
    <row r="2244" spans="6:7" ht="15" x14ac:dyDescent="0.25">
      <c r="F2244" s="3" t="s">
        <v>2391</v>
      </c>
      <c r="G2244" s="3">
        <v>0.16323687000000001</v>
      </c>
    </row>
    <row r="2245" spans="6:7" ht="15" x14ac:dyDescent="0.25">
      <c r="F2245" s="3" t="s">
        <v>2392</v>
      </c>
      <c r="G2245" s="3">
        <v>0.25</v>
      </c>
    </row>
    <row r="2246" spans="6:7" ht="15" x14ac:dyDescent="0.25">
      <c r="F2246" s="3" t="s">
        <v>2393</v>
      </c>
      <c r="G2246" s="3">
        <v>0.35</v>
      </c>
    </row>
    <row r="2247" spans="6:7" ht="15" x14ac:dyDescent="0.25">
      <c r="F2247" s="3" t="s">
        <v>2394</v>
      </c>
      <c r="G2247" s="3">
        <v>1</v>
      </c>
    </row>
    <row r="2248" spans="6:7" ht="15" x14ac:dyDescent="0.25">
      <c r="F2248" s="3" t="s">
        <v>2395</v>
      </c>
      <c r="G2248" s="3">
        <v>1</v>
      </c>
    </row>
    <row r="2249" spans="6:7" ht="15" x14ac:dyDescent="0.25">
      <c r="F2249" s="3" t="s">
        <v>2396</v>
      </c>
      <c r="G2249" s="3">
        <v>1</v>
      </c>
    </row>
    <row r="2250" spans="6:7" ht="15" x14ac:dyDescent="0.25">
      <c r="F2250" s="3" t="s">
        <v>2397</v>
      </c>
      <c r="G2250" s="3">
        <v>0.16323687000000001</v>
      </c>
    </row>
    <row r="2251" spans="6:7" ht="15" x14ac:dyDescent="0.25">
      <c r="F2251" s="3" t="s">
        <v>2398</v>
      </c>
      <c r="G2251" s="3">
        <v>1.6258900000000001E-3</v>
      </c>
    </row>
    <row r="2252" spans="6:7" ht="15" x14ac:dyDescent="0.25">
      <c r="F2252" s="3" t="s">
        <v>2399</v>
      </c>
      <c r="G2252" s="3">
        <v>2.1246300000000002E-3</v>
      </c>
    </row>
    <row r="2253" spans="6:7" ht="15" x14ac:dyDescent="0.25">
      <c r="F2253" s="3" t="s">
        <v>2400</v>
      </c>
      <c r="G2253" s="3">
        <v>3.07018E-3</v>
      </c>
    </row>
    <row r="2254" spans="6:7" ht="15" x14ac:dyDescent="0.25">
      <c r="F2254" s="3" t="s">
        <v>2401</v>
      </c>
      <c r="G2254" s="3">
        <v>3.8111400000000002E-3</v>
      </c>
    </row>
    <row r="2255" spans="6:7" ht="15" x14ac:dyDescent="0.25">
      <c r="F2255" s="3" t="s">
        <v>2402</v>
      </c>
      <c r="G2255" s="3">
        <v>7.1032600000000001E-3</v>
      </c>
    </row>
    <row r="2256" spans="6:7" ht="15" x14ac:dyDescent="0.25">
      <c r="F2256" s="3" t="s">
        <v>2403</v>
      </c>
      <c r="G2256" s="3">
        <v>9.1759000000000003E-4</v>
      </c>
    </row>
    <row r="2257" spans="6:7" ht="15" x14ac:dyDescent="0.25">
      <c r="F2257" s="3" t="s">
        <v>2404</v>
      </c>
      <c r="G2257" s="3">
        <v>4.3910339999999999E-2</v>
      </c>
    </row>
    <row r="2258" spans="6:7" ht="15" x14ac:dyDescent="0.25">
      <c r="F2258" s="3" t="s">
        <v>2405</v>
      </c>
      <c r="G2258" s="3">
        <v>3.0697640000000002E-2</v>
      </c>
    </row>
    <row r="2259" spans="6:7" ht="15" x14ac:dyDescent="0.25">
      <c r="F2259" s="3" t="s">
        <v>2406</v>
      </c>
      <c r="G2259" s="3">
        <v>0.23</v>
      </c>
    </row>
    <row r="2260" spans="6:7" ht="15" x14ac:dyDescent="0.25">
      <c r="F2260" s="3" t="s">
        <v>2407</v>
      </c>
      <c r="G2260" s="3">
        <v>0.3</v>
      </c>
    </row>
    <row r="2261" spans="6:7" ht="15" x14ac:dyDescent="0.25">
      <c r="F2261" s="3" t="s">
        <v>2408</v>
      </c>
      <c r="G2261" s="3">
        <v>1</v>
      </c>
    </row>
    <row r="2262" spans="6:7" ht="15" x14ac:dyDescent="0.25">
      <c r="F2262" s="3" t="s">
        <v>2409</v>
      </c>
      <c r="G2262" s="3">
        <v>1</v>
      </c>
    </row>
    <row r="2263" spans="6:7" ht="15" x14ac:dyDescent="0.25">
      <c r="F2263" s="3" t="s">
        <v>2410</v>
      </c>
      <c r="G2263" s="3">
        <v>1</v>
      </c>
    </row>
    <row r="2264" spans="6:7" ht="15" x14ac:dyDescent="0.25">
      <c r="F2264" s="3" t="s">
        <v>2411</v>
      </c>
      <c r="G2264" s="3">
        <v>1.297947E-2</v>
      </c>
    </row>
    <row r="2265" spans="6:7" ht="15" x14ac:dyDescent="0.25">
      <c r="F2265" s="3" t="s">
        <v>2412</v>
      </c>
      <c r="G2265" s="3">
        <v>7.2533319999999998E-2</v>
      </c>
    </row>
    <row r="2266" spans="6:7" ht="15" x14ac:dyDescent="0.25">
      <c r="F2266" s="3" t="s">
        <v>2413</v>
      </c>
      <c r="G2266" s="3">
        <v>1.03E-4</v>
      </c>
    </row>
    <row r="2267" spans="6:7" ht="15" x14ac:dyDescent="0.25">
      <c r="F2267" s="3" t="s">
        <v>2414</v>
      </c>
      <c r="G2267" s="3">
        <v>2.0599999999999999E-4</v>
      </c>
    </row>
    <row r="2268" spans="6:7" ht="15" x14ac:dyDescent="0.25">
      <c r="F2268" s="3" t="s">
        <v>2415</v>
      </c>
      <c r="G2268" s="3">
        <v>3.0899999999999998E-4</v>
      </c>
    </row>
    <row r="2269" spans="6:7" ht="15" x14ac:dyDescent="0.25">
      <c r="F2269" s="3" t="s">
        <v>2416</v>
      </c>
      <c r="G2269" s="3">
        <v>4.1199999999999999E-4</v>
      </c>
    </row>
    <row r="2270" spans="6:7" ht="15" x14ac:dyDescent="0.25">
      <c r="F2270" s="3" t="s">
        <v>2417</v>
      </c>
      <c r="G2270" s="3">
        <v>5.1500000000000005E-4</v>
      </c>
    </row>
    <row r="2271" spans="6:7" ht="15" x14ac:dyDescent="0.25">
      <c r="F2271" s="3" t="s">
        <v>2418</v>
      </c>
      <c r="G2271" s="3">
        <v>6.2074999999999999E-4</v>
      </c>
    </row>
    <row r="2272" spans="6:7" ht="15" x14ac:dyDescent="0.25">
      <c r="F2272" s="3" t="s">
        <v>2419</v>
      </c>
      <c r="G2272" s="3">
        <v>9.1759000000000003E-4</v>
      </c>
    </row>
    <row r="2273" spans="6:7" ht="15" x14ac:dyDescent="0.25">
      <c r="F2273" s="3" t="s">
        <v>2420</v>
      </c>
      <c r="G2273" s="3">
        <v>1.3948400000000001E-3</v>
      </c>
    </row>
    <row r="2274" spans="6:7" ht="15" x14ac:dyDescent="0.25">
      <c r="F2274" s="3" t="s">
        <v>2421</v>
      </c>
      <c r="G2274" s="3">
        <v>2.1246300000000002E-3</v>
      </c>
    </row>
    <row r="2275" spans="6:7" ht="15" x14ac:dyDescent="0.25">
      <c r="F2275" s="3" t="s">
        <v>2422</v>
      </c>
      <c r="G2275" s="3">
        <v>3.07018E-3</v>
      </c>
    </row>
    <row r="2276" spans="6:7" ht="15" x14ac:dyDescent="0.25">
      <c r="F2276" s="3" t="s">
        <v>2423</v>
      </c>
      <c r="G2276" s="3">
        <v>4.4445400000000003E-3</v>
      </c>
    </row>
    <row r="2277" spans="6:7" ht="15" x14ac:dyDescent="0.25">
      <c r="F2277" s="3" t="s">
        <v>2424</v>
      </c>
      <c r="G2277" s="3">
        <v>7.5560000000000002E-3</v>
      </c>
    </row>
    <row r="2278" spans="6:7" ht="15" x14ac:dyDescent="0.25">
      <c r="F2278" s="3" t="s">
        <v>2425</v>
      </c>
      <c r="G2278" s="3">
        <v>1.3210009999999999E-2</v>
      </c>
    </row>
    <row r="2279" spans="6:7" ht="15" x14ac:dyDescent="0.25">
      <c r="F2279" s="3" t="s">
        <v>2426</v>
      </c>
      <c r="G2279" s="3">
        <v>2.3749880000000001E-2</v>
      </c>
    </row>
    <row r="2280" spans="6:7" ht="15" x14ac:dyDescent="0.25">
      <c r="F2280" s="3" t="s">
        <v>2427</v>
      </c>
      <c r="G2280" s="3">
        <v>4.3910339999999999E-2</v>
      </c>
    </row>
    <row r="2281" spans="6:7" ht="15" x14ac:dyDescent="0.25">
      <c r="F2281" s="3" t="s">
        <v>2428</v>
      </c>
      <c r="G2281" s="3">
        <v>8.3487039999999998E-2</v>
      </c>
    </row>
    <row r="2282" spans="6:7" ht="15" x14ac:dyDescent="0.25">
      <c r="F2282" s="3" t="s">
        <v>2429</v>
      </c>
      <c r="G2282" s="3">
        <v>0.16323687000000001</v>
      </c>
    </row>
    <row r="2283" spans="6:7" ht="15" x14ac:dyDescent="0.25">
      <c r="F2283" s="3" t="s">
        <v>2430</v>
      </c>
      <c r="G2283" s="3">
        <v>0.25</v>
      </c>
    </row>
    <row r="2284" spans="6:7" ht="15" x14ac:dyDescent="0.25">
      <c r="F2284" s="3" t="s">
        <v>2431</v>
      </c>
      <c r="G2284" s="3">
        <v>0.35</v>
      </c>
    </row>
    <row r="2285" spans="6:7" ht="15" x14ac:dyDescent="0.25">
      <c r="F2285" s="3" t="s">
        <v>2432</v>
      </c>
      <c r="G2285" s="3">
        <v>1</v>
      </c>
    </row>
    <row r="2286" spans="6:7" ht="15" x14ac:dyDescent="0.25">
      <c r="F2286" s="3" t="s">
        <v>2433</v>
      </c>
      <c r="G2286" s="3">
        <v>1</v>
      </c>
    </row>
    <row r="2287" spans="6:7" ht="15" x14ac:dyDescent="0.25">
      <c r="F2287" s="3" t="s">
        <v>2434</v>
      </c>
      <c r="G2287" s="3">
        <v>1</v>
      </c>
    </row>
    <row r="2288" spans="6:7" ht="15" x14ac:dyDescent="0.25">
      <c r="F2288" s="3" t="s">
        <v>2435</v>
      </c>
      <c r="G2288" s="3">
        <v>1.03E-4</v>
      </c>
    </row>
    <row r="2289" spans="6:7" ht="15" x14ac:dyDescent="0.25">
      <c r="F2289" s="3" t="s">
        <v>2436</v>
      </c>
      <c r="G2289" s="3">
        <v>2.0599999999999999E-4</v>
      </c>
    </row>
    <row r="2290" spans="6:7" ht="15" x14ac:dyDescent="0.25">
      <c r="F2290" s="3" t="s">
        <v>2437</v>
      </c>
      <c r="G2290" s="3">
        <v>3.0899999999999998E-4</v>
      </c>
    </row>
    <row r="2291" spans="6:7" ht="15" x14ac:dyDescent="0.25">
      <c r="F2291" s="3" t="s">
        <v>2438</v>
      </c>
      <c r="G2291" s="3">
        <v>4.1199999999999999E-4</v>
      </c>
    </row>
    <row r="2292" spans="6:7" ht="15" x14ac:dyDescent="0.25">
      <c r="F2292" s="3" t="s">
        <v>2439</v>
      </c>
      <c r="G2292" s="3">
        <v>5.1500000000000005E-4</v>
      </c>
    </row>
    <row r="2293" spans="6:7" ht="15" x14ac:dyDescent="0.25">
      <c r="F2293" s="3" t="s">
        <v>2440</v>
      </c>
      <c r="G2293" s="3">
        <v>6.2074999999999999E-4</v>
      </c>
    </row>
    <row r="2294" spans="6:7" ht="15" x14ac:dyDescent="0.25">
      <c r="F2294" s="3" t="s">
        <v>2441</v>
      </c>
      <c r="G2294" s="3">
        <v>9.1759000000000003E-4</v>
      </c>
    </row>
    <row r="2295" spans="6:7" ht="15" x14ac:dyDescent="0.25">
      <c r="F2295" s="3" t="s">
        <v>2442</v>
      </c>
      <c r="G2295" s="3">
        <v>4.3147300000000001E-3</v>
      </c>
    </row>
    <row r="2296" spans="6:7" ht="15" x14ac:dyDescent="0.25">
      <c r="F2296" s="3" t="s">
        <v>2443</v>
      </c>
      <c r="G2296" s="3">
        <v>8.5948689999999994E-2</v>
      </c>
    </row>
    <row r="2297" spans="6:7" ht="15" x14ac:dyDescent="0.25">
      <c r="F2297" s="3" t="s">
        <v>2444</v>
      </c>
      <c r="G2297" s="3">
        <v>1</v>
      </c>
    </row>
    <row r="2298" spans="6:7" ht="15" x14ac:dyDescent="0.25">
      <c r="F2298" s="3" t="s">
        <v>2445</v>
      </c>
      <c r="G2298" s="3">
        <v>1</v>
      </c>
    </row>
    <row r="2299" spans="6:7" ht="15" x14ac:dyDescent="0.25">
      <c r="F2299" s="3" t="s">
        <v>2446</v>
      </c>
      <c r="G2299" s="3">
        <v>1.92071E-3</v>
      </c>
    </row>
    <row r="2300" spans="6:7" ht="15" x14ac:dyDescent="0.25">
      <c r="F2300" s="3" t="s">
        <v>2447</v>
      </c>
      <c r="G2300" s="3">
        <v>8.3623900000000008E-3</v>
      </c>
    </row>
    <row r="2301" spans="6:7" ht="15" x14ac:dyDescent="0.25">
      <c r="F2301" s="3" t="s">
        <v>2448</v>
      </c>
      <c r="G2301" s="3">
        <v>1</v>
      </c>
    </row>
    <row r="2302" spans="6:7" ht="15" x14ac:dyDescent="0.25">
      <c r="F2302" s="3" t="s">
        <v>2449</v>
      </c>
      <c r="G2302" s="3">
        <v>1</v>
      </c>
    </row>
    <row r="2303" spans="6:7" ht="15" x14ac:dyDescent="0.25">
      <c r="F2303" s="3" t="s">
        <v>2450</v>
      </c>
      <c r="G2303" s="3">
        <v>1.14E-3</v>
      </c>
    </row>
    <row r="2304" spans="6:7" ht="15" x14ac:dyDescent="0.25">
      <c r="F2304" s="3" t="s">
        <v>2451</v>
      </c>
      <c r="G2304" s="3">
        <v>4.4600000000000001E-2</v>
      </c>
    </row>
    <row r="2305" spans="6:7" ht="15" x14ac:dyDescent="0.25">
      <c r="F2305" s="3" t="s">
        <v>2452</v>
      </c>
      <c r="G2305" s="3">
        <v>1</v>
      </c>
    </row>
    <row r="2306" spans="6:7" ht="15" x14ac:dyDescent="0.25">
      <c r="F2306" s="3" t="s">
        <v>2453</v>
      </c>
      <c r="G2306" s="3">
        <v>1</v>
      </c>
    </row>
    <row r="2307" spans="6:7" ht="15" x14ac:dyDescent="0.25">
      <c r="F2307" s="3" t="s">
        <v>2454</v>
      </c>
      <c r="G2307" s="3">
        <v>0.16323687000000001</v>
      </c>
    </row>
    <row r="2308" spans="6:7" ht="15" x14ac:dyDescent="0.25">
      <c r="F2308" s="3" t="s">
        <v>2455</v>
      </c>
      <c r="G2308" s="3">
        <v>1.03E-4</v>
      </c>
    </row>
    <row r="2309" spans="6:7" ht="15" x14ac:dyDescent="0.25">
      <c r="F2309" s="3" t="s">
        <v>2456</v>
      </c>
      <c r="G2309" s="3">
        <v>2.0599999999999999E-4</v>
      </c>
    </row>
    <row r="2310" spans="6:7" ht="15" x14ac:dyDescent="0.25">
      <c r="F2310" s="3" t="s">
        <v>2457</v>
      </c>
      <c r="G2310" s="3">
        <v>3.0899999999999998E-4</v>
      </c>
    </row>
    <row r="2311" spans="6:7" ht="15" x14ac:dyDescent="0.25">
      <c r="F2311" s="3" t="s">
        <v>2458</v>
      </c>
      <c r="G2311" s="3">
        <v>4.1199999999999999E-4</v>
      </c>
    </row>
    <row r="2312" spans="6:7" ht="15" x14ac:dyDescent="0.25">
      <c r="F2312" s="3" t="s">
        <v>2459</v>
      </c>
      <c r="G2312" s="3">
        <v>5.1500000000000005E-4</v>
      </c>
    </row>
    <row r="2313" spans="6:7" ht="15" x14ac:dyDescent="0.25">
      <c r="F2313" s="3" t="s">
        <v>2460</v>
      </c>
      <c r="G2313" s="3">
        <v>6.2074999999999999E-4</v>
      </c>
    </row>
    <row r="2314" spans="6:7" ht="15" x14ac:dyDescent="0.25">
      <c r="F2314" s="3" t="s">
        <v>2461</v>
      </c>
      <c r="G2314" s="3">
        <v>9.1759000000000003E-4</v>
      </c>
    </row>
    <row r="2315" spans="6:7" ht="15" x14ac:dyDescent="0.25">
      <c r="F2315" s="3" t="s">
        <v>2462</v>
      </c>
      <c r="G2315" s="3">
        <v>1.3948400000000001E-3</v>
      </c>
    </row>
    <row r="2316" spans="6:7" ht="15" x14ac:dyDescent="0.25">
      <c r="F2316" s="3" t="s">
        <v>2463</v>
      </c>
      <c r="G2316" s="3">
        <v>2.1246300000000002E-3</v>
      </c>
    </row>
    <row r="2317" spans="6:7" ht="15" x14ac:dyDescent="0.25">
      <c r="F2317" s="3" t="s">
        <v>2464</v>
      </c>
      <c r="G2317" s="3">
        <v>3.07018E-3</v>
      </c>
    </row>
    <row r="2318" spans="6:7" ht="15" x14ac:dyDescent="0.25">
      <c r="F2318" s="3" t="s">
        <v>2465</v>
      </c>
      <c r="G2318" s="3">
        <v>4.4445400000000003E-3</v>
      </c>
    </row>
    <row r="2319" spans="6:7" ht="15" x14ac:dyDescent="0.25">
      <c r="F2319" s="3" t="s">
        <v>2466</v>
      </c>
      <c r="G2319" s="3">
        <v>7.5560000000000002E-3</v>
      </c>
    </row>
    <row r="2320" spans="6:7" ht="15" x14ac:dyDescent="0.25">
      <c r="F2320" s="3" t="s">
        <v>2467</v>
      </c>
      <c r="G2320" s="3">
        <v>1.3210009999999999E-2</v>
      </c>
    </row>
    <row r="2321" spans="6:7" ht="15" x14ac:dyDescent="0.25">
      <c r="F2321" s="3" t="s">
        <v>2468</v>
      </c>
      <c r="G2321" s="3">
        <v>2.3749880000000001E-2</v>
      </c>
    </row>
    <row r="2322" spans="6:7" ht="15" x14ac:dyDescent="0.25">
      <c r="F2322" s="3" t="s">
        <v>2469</v>
      </c>
      <c r="G2322" s="3">
        <v>4.3910339999999999E-2</v>
      </c>
    </row>
    <row r="2323" spans="6:7" ht="15" x14ac:dyDescent="0.25">
      <c r="F2323" s="3" t="s">
        <v>2470</v>
      </c>
      <c r="G2323" s="3">
        <v>8.3487039999999998E-2</v>
      </c>
    </row>
    <row r="2324" spans="6:7" ht="15" x14ac:dyDescent="0.25">
      <c r="F2324" s="3" t="s">
        <v>2471</v>
      </c>
      <c r="G2324" s="3">
        <v>0.25</v>
      </c>
    </row>
    <row r="2325" spans="6:7" ht="15" x14ac:dyDescent="0.25">
      <c r="F2325" s="3" t="s">
        <v>2472</v>
      </c>
      <c r="G2325" s="3">
        <v>0.35</v>
      </c>
    </row>
    <row r="2326" spans="6:7" ht="15" x14ac:dyDescent="0.25">
      <c r="F2326" s="3" t="s">
        <v>2473</v>
      </c>
      <c r="G2326" s="3">
        <v>1</v>
      </c>
    </row>
    <row r="2327" spans="6:7" ht="15" x14ac:dyDescent="0.25">
      <c r="F2327" s="3" t="s">
        <v>2474</v>
      </c>
      <c r="G2327" s="3">
        <v>1</v>
      </c>
    </row>
    <row r="2328" spans="6:7" ht="15" x14ac:dyDescent="0.25">
      <c r="F2328" s="3" t="s">
        <v>2475</v>
      </c>
      <c r="G2328" s="3">
        <v>1</v>
      </c>
    </row>
    <row r="2329" spans="6:7" ht="15" x14ac:dyDescent="0.25">
      <c r="F2329" s="3" t="s">
        <v>2476</v>
      </c>
      <c r="G2329" s="3">
        <v>3.07018E-3</v>
      </c>
    </row>
    <row r="2330" spans="6:7" ht="15" x14ac:dyDescent="0.25">
      <c r="F2330" s="3" t="s">
        <v>2477</v>
      </c>
      <c r="G2330" s="3">
        <v>4.4445400000000003E-3</v>
      </c>
    </row>
    <row r="2331" spans="6:7" ht="15" x14ac:dyDescent="0.25">
      <c r="F2331" s="3" t="s">
        <v>2478</v>
      </c>
      <c r="G2331" s="3">
        <v>7.5560000000000002E-3</v>
      </c>
    </row>
    <row r="2332" spans="6:7" ht="15" x14ac:dyDescent="0.25">
      <c r="F2332" s="3" t="s">
        <v>2479</v>
      </c>
      <c r="G2332" s="3">
        <v>1.3210009999999999E-2</v>
      </c>
    </row>
    <row r="2333" spans="6:7" ht="15" x14ac:dyDescent="0.25">
      <c r="F2333" s="3" t="s">
        <v>2480</v>
      </c>
      <c r="G2333" s="3">
        <v>2.3749880000000001E-2</v>
      </c>
    </row>
    <row r="2334" spans="6:7" ht="15" x14ac:dyDescent="0.25">
      <c r="F2334" s="3" t="s">
        <v>2481</v>
      </c>
      <c r="G2334" s="3">
        <v>4.3910339999999999E-2</v>
      </c>
    </row>
    <row r="2335" spans="6:7" ht="15" x14ac:dyDescent="0.25">
      <c r="F2335" s="3" t="s">
        <v>2482</v>
      </c>
      <c r="G2335" s="3">
        <v>8.3487039999999998E-2</v>
      </c>
    </row>
    <row r="2336" spans="6:7" ht="15" x14ac:dyDescent="0.25">
      <c r="F2336" s="3" t="s">
        <v>2483</v>
      </c>
      <c r="G2336" s="3">
        <v>0.16323687000000001</v>
      </c>
    </row>
    <row r="2337" spans="6:7" ht="15" x14ac:dyDescent="0.25">
      <c r="F2337" s="3" t="s">
        <v>2484</v>
      </c>
      <c r="G2337" s="3">
        <v>0.25</v>
      </c>
    </row>
    <row r="2338" spans="6:7" ht="15" x14ac:dyDescent="0.25">
      <c r="F2338" s="3" t="s">
        <v>2485</v>
      </c>
      <c r="G2338" s="3">
        <v>0.35</v>
      </c>
    </row>
    <row r="2339" spans="6:7" ht="15" x14ac:dyDescent="0.25">
      <c r="F2339" s="3" t="s">
        <v>2486</v>
      </c>
      <c r="G2339" s="3">
        <v>1</v>
      </c>
    </row>
    <row r="2340" spans="6:7" ht="15" x14ac:dyDescent="0.25">
      <c r="F2340" s="3" t="s">
        <v>2487</v>
      </c>
      <c r="G2340" s="3">
        <v>1</v>
      </c>
    </row>
    <row r="2341" spans="6:7" ht="15" x14ac:dyDescent="0.25">
      <c r="F2341" s="3" t="s">
        <v>2488</v>
      </c>
      <c r="G2341" s="3">
        <v>1</v>
      </c>
    </row>
    <row r="2342" spans="6:7" ht="15" x14ac:dyDescent="0.25">
      <c r="F2342" s="3" t="s">
        <v>2489</v>
      </c>
      <c r="G2342" s="3">
        <v>3.0899999999999998E-4</v>
      </c>
    </row>
    <row r="2343" spans="6:7" ht="15" x14ac:dyDescent="0.25">
      <c r="F2343" s="3" t="s">
        <v>2490</v>
      </c>
      <c r="G2343" s="3">
        <v>4.1199999999999999E-4</v>
      </c>
    </row>
    <row r="2344" spans="6:7" ht="15" x14ac:dyDescent="0.25">
      <c r="F2344" s="3" t="s">
        <v>2491</v>
      </c>
      <c r="G2344" s="3">
        <v>5.1500000000000005E-4</v>
      </c>
    </row>
    <row r="2345" spans="6:7" ht="15" x14ac:dyDescent="0.25">
      <c r="F2345" s="3" t="s">
        <v>2492</v>
      </c>
      <c r="G2345" s="3">
        <v>6.2074999999999999E-4</v>
      </c>
    </row>
    <row r="2346" spans="6:7" ht="15" x14ac:dyDescent="0.25">
      <c r="F2346" s="3" t="s">
        <v>2493</v>
      </c>
      <c r="G2346" s="3">
        <v>9.1759000000000003E-4</v>
      </c>
    </row>
    <row r="2347" spans="6:7" ht="15" x14ac:dyDescent="0.25">
      <c r="F2347" s="3" t="s">
        <v>2494</v>
      </c>
      <c r="G2347" s="3">
        <v>1.3948400000000001E-3</v>
      </c>
    </row>
    <row r="2348" spans="6:7" ht="15" x14ac:dyDescent="0.25">
      <c r="F2348" s="3" t="s">
        <v>2495</v>
      </c>
      <c r="G2348" s="3">
        <v>2.1246300000000002E-3</v>
      </c>
    </row>
    <row r="2349" spans="6:7" ht="15" x14ac:dyDescent="0.25">
      <c r="F2349" s="3" t="s">
        <v>2496</v>
      </c>
      <c r="G2349" s="3">
        <v>1.03E-4</v>
      </c>
    </row>
    <row r="2350" spans="6:7" ht="15" x14ac:dyDescent="0.25">
      <c r="F2350" s="3" t="s">
        <v>2497</v>
      </c>
      <c r="G2350" s="3">
        <v>2.0599999999999999E-4</v>
      </c>
    </row>
    <row r="2351" spans="6:7" ht="15" x14ac:dyDescent="0.25">
      <c r="F2351" s="3" t="s">
        <v>2498</v>
      </c>
      <c r="G2351" s="3">
        <v>6.8209329999999999E-2</v>
      </c>
    </row>
    <row r="2352" spans="6:7" ht="15" x14ac:dyDescent="0.25">
      <c r="F2352" s="3" t="s">
        <v>2499</v>
      </c>
      <c r="G2352" s="3">
        <v>7.496303E-2</v>
      </c>
    </row>
    <row r="2353" spans="6:7" ht="15" x14ac:dyDescent="0.25">
      <c r="F2353" s="3" t="s">
        <v>2500</v>
      </c>
      <c r="G2353" s="3">
        <v>8.3491750000000003E-2</v>
      </c>
    </row>
    <row r="2354" spans="6:7" ht="15" x14ac:dyDescent="0.25">
      <c r="F2354" s="3" t="s">
        <v>2501</v>
      </c>
      <c r="G2354" s="3">
        <v>1</v>
      </c>
    </row>
    <row r="2355" spans="6:7" ht="15" x14ac:dyDescent="0.25">
      <c r="F2355" s="3" t="s">
        <v>2502</v>
      </c>
      <c r="G2355" s="3">
        <v>3.0899999999999998E-4</v>
      </c>
    </row>
    <row r="2356" spans="6:7" ht="15" x14ac:dyDescent="0.25">
      <c r="F2356" s="3" t="s">
        <v>2503</v>
      </c>
      <c r="G2356" s="3">
        <v>4.1199999999999999E-4</v>
      </c>
    </row>
    <row r="2357" spans="6:7" ht="15" x14ac:dyDescent="0.25">
      <c r="F2357" s="3" t="s">
        <v>2504</v>
      </c>
      <c r="G2357" s="3">
        <v>5.1500000000000005E-4</v>
      </c>
    </row>
    <row r="2358" spans="6:7" ht="15" x14ac:dyDescent="0.25">
      <c r="F2358" s="3" t="s">
        <v>2505</v>
      </c>
      <c r="G2358" s="3">
        <v>6.2074999999999999E-4</v>
      </c>
    </row>
    <row r="2359" spans="6:7" ht="15" x14ac:dyDescent="0.25">
      <c r="F2359" s="3" t="s">
        <v>2506</v>
      </c>
      <c r="G2359" s="3">
        <v>9.0886000000000005E-4</v>
      </c>
    </row>
    <row r="2360" spans="6:7" ht="15" x14ac:dyDescent="0.25">
      <c r="F2360" s="3" t="s">
        <v>2507</v>
      </c>
      <c r="G2360" s="3">
        <v>1.3948400000000001E-3</v>
      </c>
    </row>
    <row r="2361" spans="6:7" ht="15" x14ac:dyDescent="0.25">
      <c r="F2361" s="3" t="s">
        <v>2508</v>
      </c>
      <c r="G2361" s="3">
        <v>1.9265300000000001E-3</v>
      </c>
    </row>
    <row r="2362" spans="6:7" ht="15" x14ac:dyDescent="0.25">
      <c r="F2362" s="3" t="s">
        <v>2509</v>
      </c>
      <c r="G2362" s="3">
        <v>2.65037E-3</v>
      </c>
    </row>
    <row r="2363" spans="6:7" ht="15" x14ac:dyDescent="0.25">
      <c r="F2363" s="3" t="s">
        <v>2510</v>
      </c>
      <c r="G2363" s="3">
        <v>4.7349699999999998E-3</v>
      </c>
    </row>
    <row r="2364" spans="6:7" ht="15" x14ac:dyDescent="0.25">
      <c r="F2364" s="3" t="s">
        <v>2511</v>
      </c>
      <c r="G2364" s="3">
        <v>8.0826000000000005E-3</v>
      </c>
    </row>
    <row r="2365" spans="6:7" ht="15" x14ac:dyDescent="0.25">
      <c r="F2365" s="3" t="s">
        <v>2512</v>
      </c>
      <c r="G2365" s="3">
        <v>1.2578809999999999E-2</v>
      </c>
    </row>
    <row r="2366" spans="6:7" ht="15" x14ac:dyDescent="0.25">
      <c r="F2366" s="3" t="s">
        <v>2513</v>
      </c>
      <c r="G2366" s="3">
        <v>1.7850830000000002E-2</v>
      </c>
    </row>
    <row r="2367" spans="6:7" ht="15" x14ac:dyDescent="0.25">
      <c r="F2367" s="3" t="s">
        <v>2514</v>
      </c>
      <c r="G2367" s="3">
        <v>2.9632809999999999E-2</v>
      </c>
    </row>
    <row r="2368" spans="6:7" ht="15" x14ac:dyDescent="0.25">
      <c r="F2368" s="3" t="s">
        <v>2515</v>
      </c>
      <c r="G2368" s="3">
        <v>4.889305E-2</v>
      </c>
    </row>
    <row r="2369" spans="6:7" ht="15" x14ac:dyDescent="0.25">
      <c r="F2369" s="3" t="s">
        <v>2516</v>
      </c>
      <c r="G2369" s="3">
        <v>7.50585E-2</v>
      </c>
    </row>
    <row r="2370" spans="6:7" ht="15" x14ac:dyDescent="0.25">
      <c r="F2370" s="3" t="s">
        <v>2517</v>
      </c>
      <c r="G2370" s="3">
        <v>0.19568595</v>
      </c>
    </row>
    <row r="2371" spans="6:7" ht="15" x14ac:dyDescent="0.25">
      <c r="F2371" s="3" t="s">
        <v>2518</v>
      </c>
      <c r="G2371" s="3">
        <v>0.25</v>
      </c>
    </row>
    <row r="2372" spans="6:7" ht="15" x14ac:dyDescent="0.25">
      <c r="F2372" s="3" t="s">
        <v>2519</v>
      </c>
      <c r="G2372" s="3">
        <v>0.35</v>
      </c>
    </row>
    <row r="2373" spans="6:7" ht="15" x14ac:dyDescent="0.25">
      <c r="F2373" s="3" t="s">
        <v>2520</v>
      </c>
      <c r="G2373" s="3">
        <v>1</v>
      </c>
    </row>
    <row r="2374" spans="6:7" ht="15" x14ac:dyDescent="0.25">
      <c r="F2374" s="3" t="s">
        <v>2521</v>
      </c>
      <c r="G2374" s="3">
        <v>1</v>
      </c>
    </row>
    <row r="2375" spans="6:7" ht="15" x14ac:dyDescent="0.25">
      <c r="F2375" s="3" t="s">
        <v>2522</v>
      </c>
      <c r="G2375" s="3">
        <v>2.0599999999999999E-4</v>
      </c>
    </row>
    <row r="2376" spans="6:7" ht="15" x14ac:dyDescent="0.25">
      <c r="F2376" s="3" t="s">
        <v>2523</v>
      </c>
      <c r="G2376" s="3">
        <v>7.9660999999999996E-2</v>
      </c>
    </row>
    <row r="2377" spans="6:7" ht="15" x14ac:dyDescent="0.25">
      <c r="F2377" s="3" t="s">
        <v>2524</v>
      </c>
      <c r="G2377" s="3">
        <v>0.14069000000000001</v>
      </c>
    </row>
    <row r="2378" spans="6:7" ht="15" x14ac:dyDescent="0.25">
      <c r="F2378" s="3" t="s">
        <v>2525</v>
      </c>
      <c r="G2378" s="3">
        <v>0.144345</v>
      </c>
    </row>
    <row r="2379" spans="6:7" ht="15" x14ac:dyDescent="0.25">
      <c r="F2379" s="3" t="s">
        <v>2526</v>
      </c>
      <c r="G2379" s="3">
        <v>0.26144000000000001</v>
      </c>
    </row>
    <row r="2380" spans="6:7" ht="15" x14ac:dyDescent="0.25">
      <c r="F2380" s="3" t="s">
        <v>2527</v>
      </c>
      <c r="G2380" s="3">
        <v>1.8744E-3</v>
      </c>
    </row>
    <row r="2381" spans="6:7" ht="15" x14ac:dyDescent="0.25">
      <c r="F2381" s="3" t="s">
        <v>2528</v>
      </c>
      <c r="G2381" s="3">
        <v>6.3401000000000004E-3</v>
      </c>
    </row>
    <row r="2382" spans="6:7" ht="15" x14ac:dyDescent="0.25">
      <c r="F2382" s="3" t="s">
        <v>2529</v>
      </c>
      <c r="G2382" s="3">
        <v>2.7846599999999999E-2</v>
      </c>
    </row>
    <row r="2383" spans="6:7" ht="15" x14ac:dyDescent="0.25">
      <c r="F2383" s="3" t="s">
        <v>2530</v>
      </c>
      <c r="G2383" s="3">
        <v>7.9660999999999996E-2</v>
      </c>
    </row>
    <row r="2384" spans="6:7" ht="15" x14ac:dyDescent="0.25">
      <c r="F2384" s="3" t="s">
        <v>2531</v>
      </c>
      <c r="G2384" s="3">
        <v>0.14069000000000001</v>
      </c>
    </row>
    <row r="2385" spans="6:7" ht="15" x14ac:dyDescent="0.25">
      <c r="F2385" s="3" t="s">
        <v>2532</v>
      </c>
      <c r="G2385" s="3">
        <v>0.144345</v>
      </c>
    </row>
    <row r="2386" spans="6:7" ht="15" x14ac:dyDescent="0.25">
      <c r="F2386" s="3" t="s">
        <v>2533</v>
      </c>
      <c r="G2386" s="3">
        <v>4.1199999999999999E-4</v>
      </c>
    </row>
    <row r="2387" spans="6:7" ht="15" x14ac:dyDescent="0.25">
      <c r="F2387" s="3" t="s">
        <v>2534</v>
      </c>
      <c r="G2387" s="3">
        <v>5.1500000000000005E-4</v>
      </c>
    </row>
    <row r="2388" spans="6:7" ht="15" x14ac:dyDescent="0.25">
      <c r="F2388" s="3" t="s">
        <v>2535</v>
      </c>
      <c r="G2388" s="3">
        <v>7.6299999999999996E-3</v>
      </c>
    </row>
    <row r="2389" spans="6:7" ht="15" x14ac:dyDescent="0.25">
      <c r="F2389" s="3" t="s">
        <v>2536</v>
      </c>
      <c r="G2389" s="3">
        <v>4.2979999999999997E-2</v>
      </c>
    </row>
    <row r="2390" spans="6:7" ht="15" x14ac:dyDescent="0.25">
      <c r="F2390" s="3" t="s">
        <v>2537</v>
      </c>
      <c r="G2390" s="3">
        <v>4.9820000000000003E-2</v>
      </c>
    </row>
    <row r="2391" spans="6:7" ht="15" x14ac:dyDescent="0.25">
      <c r="F2391" s="3" t="s">
        <v>2538</v>
      </c>
      <c r="G2391" s="3">
        <v>7.0365570000000002E-2</v>
      </c>
    </row>
    <row r="2392" spans="6:7" ht="15" x14ac:dyDescent="0.25">
      <c r="F2392" s="3" t="s">
        <v>2539</v>
      </c>
      <c r="G2392" s="3">
        <v>0.11039367</v>
      </c>
    </row>
    <row r="2393" spans="6:7" ht="15" x14ac:dyDescent="0.25">
      <c r="F2393" s="3" t="s">
        <v>2540</v>
      </c>
      <c r="G2393" s="3">
        <v>8.0000000000000007E-5</v>
      </c>
    </row>
    <row r="2394" spans="6:7" ht="15" x14ac:dyDescent="0.25">
      <c r="F2394" s="3" t="s">
        <v>2541</v>
      </c>
      <c r="G2394" s="3">
        <v>2.1000000000000001E-4</v>
      </c>
    </row>
    <row r="2395" spans="6:7" ht="15" x14ac:dyDescent="0.25">
      <c r="F2395" s="3" t="s">
        <v>2542</v>
      </c>
      <c r="G2395" s="3">
        <v>4.2000000000000002E-4</v>
      </c>
    </row>
    <row r="2396" spans="6:7" ht="15" x14ac:dyDescent="0.25">
      <c r="F2396" s="3" t="s">
        <v>2543</v>
      </c>
      <c r="G2396" s="3">
        <v>5.8399999999999997E-3</v>
      </c>
    </row>
    <row r="2397" spans="6:7" ht="15" x14ac:dyDescent="0.25">
      <c r="F2397" s="3" t="s">
        <v>2544</v>
      </c>
      <c r="G2397" s="3">
        <v>3.5880000000000002E-2</v>
      </c>
    </row>
    <row r="2398" spans="6:7" ht="15" x14ac:dyDescent="0.25">
      <c r="F2398" s="3" t="s">
        <v>2545</v>
      </c>
      <c r="G2398" s="3">
        <v>0.39079000000000003</v>
      </c>
    </row>
    <row r="2399" spans="6:7" ht="15" x14ac:dyDescent="0.25">
      <c r="F2399" s="3" t="s">
        <v>2546</v>
      </c>
      <c r="G2399" s="3">
        <v>6.7787000000000001E-4</v>
      </c>
    </row>
    <row r="2400" spans="6:7" ht="15" x14ac:dyDescent="0.25">
      <c r="F2400" s="3" t="s">
        <v>2547</v>
      </c>
      <c r="G2400" s="3">
        <v>1.03E-4</v>
      </c>
    </row>
    <row r="2401" spans="6:7" ht="15" x14ac:dyDescent="0.25">
      <c r="F2401" s="3" t="s">
        <v>2548</v>
      </c>
      <c r="G2401" s="3">
        <v>2.0599999999999999E-4</v>
      </c>
    </row>
    <row r="2402" spans="6:7" ht="15" x14ac:dyDescent="0.25">
      <c r="F2402" s="3" t="s">
        <v>2549</v>
      </c>
      <c r="G2402" s="3">
        <v>3.0899999999999998E-4</v>
      </c>
    </row>
    <row r="2403" spans="6:7" ht="15" x14ac:dyDescent="0.25">
      <c r="F2403" s="3" t="s">
        <v>2550</v>
      </c>
      <c r="G2403" s="3">
        <v>4.1199999999999999E-4</v>
      </c>
    </row>
    <row r="2404" spans="6:7" ht="15" x14ac:dyDescent="0.25">
      <c r="F2404" s="3" t="s">
        <v>2551</v>
      </c>
      <c r="G2404" s="3">
        <v>5.1500000000000005E-4</v>
      </c>
    </row>
    <row r="2405" spans="6:7" ht="15" x14ac:dyDescent="0.25">
      <c r="F2405" s="3" t="s">
        <v>2552</v>
      </c>
      <c r="G2405" s="3">
        <v>6.7787000000000001E-4</v>
      </c>
    </row>
    <row r="2406" spans="6:7" ht="15" x14ac:dyDescent="0.25">
      <c r="F2406" s="3" t="s">
        <v>2553</v>
      </c>
      <c r="G2406" s="3">
        <v>1.03E-4</v>
      </c>
    </row>
    <row r="2407" spans="6:7" ht="15" x14ac:dyDescent="0.25">
      <c r="F2407" s="3" t="s">
        <v>2554</v>
      </c>
      <c r="G2407" s="3">
        <v>2.0599999999999999E-4</v>
      </c>
    </row>
    <row r="2408" spans="6:7" ht="15" x14ac:dyDescent="0.25">
      <c r="F2408" s="3" t="s">
        <v>2555</v>
      </c>
      <c r="G2408" s="3">
        <v>3.0899999999999998E-4</v>
      </c>
    </row>
    <row r="2409" spans="6:7" ht="15" x14ac:dyDescent="0.25">
      <c r="F2409" s="3" t="s">
        <v>2556</v>
      </c>
      <c r="G2409" s="3">
        <v>4.1199999999999999E-4</v>
      </c>
    </row>
    <row r="2410" spans="6:7" ht="15" x14ac:dyDescent="0.25">
      <c r="F2410" s="3" t="s">
        <v>2557</v>
      </c>
      <c r="G2410" s="3">
        <v>5.1500000000000005E-4</v>
      </c>
    </row>
    <row r="2411" spans="6:7" ht="15" x14ac:dyDescent="0.25">
      <c r="F2411" s="3" t="s">
        <v>2558</v>
      </c>
      <c r="G2411" s="3">
        <v>6.7787000000000001E-4</v>
      </c>
    </row>
    <row r="2412" spans="6:7" ht="15" x14ac:dyDescent="0.25">
      <c r="F2412" s="3" t="s">
        <v>2559</v>
      </c>
      <c r="G2412" s="3">
        <v>0.16323687000000001</v>
      </c>
    </row>
    <row r="2413" spans="6:7" ht="15" x14ac:dyDescent="0.25">
      <c r="F2413" s="3" t="s">
        <v>2560</v>
      </c>
      <c r="G2413" s="3">
        <v>0.16323687000000001</v>
      </c>
    </row>
    <row r="2414" spans="6:7" ht="15" x14ac:dyDescent="0.25">
      <c r="F2414" s="3" t="s">
        <v>2561</v>
      </c>
      <c r="G2414" s="3">
        <v>0.16323687000000001</v>
      </c>
    </row>
    <row r="2415" spans="6:7" ht="15" x14ac:dyDescent="0.25">
      <c r="F2415" s="3" t="s">
        <v>2562</v>
      </c>
      <c r="G2415" s="3">
        <v>0.16323687000000001</v>
      </c>
    </row>
    <row r="2416" spans="6:7" ht="15" x14ac:dyDescent="0.25">
      <c r="F2416" s="3" t="s">
        <v>2563</v>
      </c>
      <c r="G2416" s="3">
        <v>0.16323687000000001</v>
      </c>
    </row>
    <row r="2417" spans="6:7" ht="15" x14ac:dyDescent="0.25">
      <c r="F2417" s="3" t="s">
        <v>2564</v>
      </c>
      <c r="G2417" s="3">
        <v>0.16323687000000001</v>
      </c>
    </row>
    <row r="2418" spans="6:7" ht="15" x14ac:dyDescent="0.25">
      <c r="F2418" s="3" t="s">
        <v>2565</v>
      </c>
      <c r="G2418" s="3">
        <v>0.16323687000000001</v>
      </c>
    </row>
    <row r="2419" spans="6:7" ht="15" x14ac:dyDescent="0.25">
      <c r="F2419" s="3" t="s">
        <v>2566</v>
      </c>
      <c r="G2419" s="3">
        <v>0.16323687000000001</v>
      </c>
    </row>
    <row r="2420" spans="6:7" ht="15" x14ac:dyDescent="0.25">
      <c r="F2420" s="3" t="s">
        <v>2567</v>
      </c>
      <c r="G2420" s="3">
        <v>0.16323687000000001</v>
      </c>
    </row>
    <row r="2421" spans="6:7" ht="15" x14ac:dyDescent="0.25">
      <c r="F2421" s="3" t="s">
        <v>2568</v>
      </c>
      <c r="G2421" s="3">
        <v>0.25</v>
      </c>
    </row>
    <row r="2422" spans="6:7" ht="15" x14ac:dyDescent="0.25">
      <c r="F2422" s="3" t="s">
        <v>2569</v>
      </c>
      <c r="G2422" s="3">
        <v>2.009E-2</v>
      </c>
    </row>
    <row r="2423" spans="6:7" ht="15" x14ac:dyDescent="0.25">
      <c r="F2423" s="3" t="s">
        <v>2570</v>
      </c>
      <c r="G2423" s="3">
        <v>0.103293</v>
      </c>
    </row>
    <row r="2424" spans="6:7" ht="15" x14ac:dyDescent="0.25">
      <c r="F2424" s="3" t="s">
        <v>2571</v>
      </c>
      <c r="G2424" s="3">
        <v>3.0609999999999998E-2</v>
      </c>
    </row>
    <row r="2425" spans="6:7" ht="15" x14ac:dyDescent="0.25">
      <c r="F2425" s="3" t="s">
        <v>2572</v>
      </c>
      <c r="G2425" s="3">
        <v>7.5842000000000007E-2</v>
      </c>
    </row>
    <row r="2426" spans="6:7" ht="15" x14ac:dyDescent="0.25">
      <c r="F2426" s="3" t="s">
        <v>2573</v>
      </c>
      <c r="G2426" s="3">
        <v>0.16323687000000001</v>
      </c>
    </row>
    <row r="2427" spans="6:7" ht="15" x14ac:dyDescent="0.25">
      <c r="F2427" s="3" t="s">
        <v>2574</v>
      </c>
      <c r="G2427" s="3">
        <v>3.0855999999999999E-4</v>
      </c>
    </row>
    <row r="2428" spans="6:7" ht="15" x14ac:dyDescent="0.25">
      <c r="F2428" s="3" t="s">
        <v>2575</v>
      </c>
      <c r="G2428" s="3">
        <v>4.3758000000000002E-4</v>
      </c>
    </row>
    <row r="2429" spans="6:7" ht="15" x14ac:dyDescent="0.25">
      <c r="F2429" s="3" t="s">
        <v>2576</v>
      </c>
      <c r="G2429" s="3">
        <v>7.2332880000000002E-2</v>
      </c>
    </row>
    <row r="2430" spans="6:7" ht="15" x14ac:dyDescent="0.25">
      <c r="F2430" s="3" t="s">
        <v>2577</v>
      </c>
      <c r="G2430" s="3">
        <v>0.11322461</v>
      </c>
    </row>
    <row r="2431" spans="6:7" ht="15" x14ac:dyDescent="0.25">
      <c r="F2431" s="3" t="s">
        <v>2578</v>
      </c>
      <c r="G2431" s="3">
        <v>7.6271000000000005E-2</v>
      </c>
    </row>
    <row r="2432" spans="6:7" ht="15" x14ac:dyDescent="0.25">
      <c r="F2432" s="3" t="s">
        <v>2579</v>
      </c>
      <c r="G2432" s="3">
        <v>6.5540000000000001E-2</v>
      </c>
    </row>
    <row r="2433" spans="6:7" ht="15" x14ac:dyDescent="0.25">
      <c r="F2433" s="3" t="s">
        <v>2580</v>
      </c>
      <c r="G2433" s="3">
        <v>0.1028</v>
      </c>
    </row>
    <row r="2434" spans="6:7" ht="15" x14ac:dyDescent="0.25">
      <c r="F2434" s="3" t="s">
        <v>2581</v>
      </c>
      <c r="G2434" s="3">
        <v>3.9900600000000001E-3</v>
      </c>
    </row>
    <row r="2435" spans="6:7" ht="15" x14ac:dyDescent="0.25">
      <c r="F2435" s="3" t="s">
        <v>2582</v>
      </c>
      <c r="G2435" s="3">
        <v>5.7398400000000004E-3</v>
      </c>
    </row>
    <row r="2436" spans="6:7" ht="15" x14ac:dyDescent="0.25">
      <c r="F2436" s="3" t="s">
        <v>2583</v>
      </c>
      <c r="G2436" s="3">
        <v>1.8807089999999999E-2</v>
      </c>
    </row>
    <row r="2437" spans="6:7" ht="15" x14ac:dyDescent="0.25">
      <c r="F2437" s="3" t="s">
        <v>2584</v>
      </c>
      <c r="G2437" s="3">
        <v>2.3723040000000001E-2</v>
      </c>
    </row>
    <row r="2438" spans="6:7" ht="15" x14ac:dyDescent="0.25">
      <c r="F2438" s="3" t="s">
        <v>2585</v>
      </c>
      <c r="G2438" s="3">
        <v>3.8560000000000001E-3</v>
      </c>
    </row>
    <row r="2439" spans="6:7" ht="15" x14ac:dyDescent="0.25">
      <c r="F2439" s="3" t="s">
        <v>2586</v>
      </c>
      <c r="G2439" s="3">
        <v>5.5649999999999996E-3</v>
      </c>
    </row>
    <row r="2440" spans="6:7" ht="15" x14ac:dyDescent="0.25">
      <c r="F2440" s="3" t="s">
        <v>2587</v>
      </c>
      <c r="G2440" s="3">
        <v>3.9480000000000001E-2</v>
      </c>
    </row>
    <row r="2441" spans="6:7" ht="15" x14ac:dyDescent="0.25">
      <c r="F2441" s="3" t="s">
        <v>2588</v>
      </c>
      <c r="G2441" s="3">
        <v>5.1337000000000001E-2</v>
      </c>
    </row>
    <row r="2442" spans="6:7" ht="15" x14ac:dyDescent="0.25">
      <c r="F2442" s="3" t="s">
        <v>2589</v>
      </c>
      <c r="G2442" s="3">
        <v>1.03E-4</v>
      </c>
    </row>
    <row r="2443" spans="6:7" ht="15" x14ac:dyDescent="0.25">
      <c r="F2443" s="3" t="s">
        <v>2590</v>
      </c>
      <c r="G2443" s="3">
        <v>2.0599999999999999E-4</v>
      </c>
    </row>
    <row r="2444" spans="6:7" ht="15" x14ac:dyDescent="0.25">
      <c r="F2444" s="3" t="s">
        <v>2591</v>
      </c>
      <c r="G2444" s="3">
        <v>3.0899999999999998E-4</v>
      </c>
    </row>
    <row r="2445" spans="6:7" ht="15" x14ac:dyDescent="0.25">
      <c r="F2445" s="3" t="s">
        <v>2592</v>
      </c>
      <c r="G2445" s="3">
        <v>4.1199999999999999E-4</v>
      </c>
    </row>
    <row r="2446" spans="6:7" ht="15" x14ac:dyDescent="0.25">
      <c r="F2446" s="3" t="s">
        <v>2593</v>
      </c>
      <c r="G2446" s="3">
        <v>5.1500000000000005E-4</v>
      </c>
    </row>
    <row r="2447" spans="6:7" ht="15" x14ac:dyDescent="0.25">
      <c r="F2447" s="3" t="s">
        <v>2594</v>
      </c>
      <c r="G2447" s="3">
        <v>6.2074999999999999E-4</v>
      </c>
    </row>
    <row r="2448" spans="6:7" ht="15" x14ac:dyDescent="0.25">
      <c r="F2448" s="3" t="s">
        <v>2595</v>
      </c>
      <c r="G2448" s="3">
        <v>1.03E-4</v>
      </c>
    </row>
    <row r="2449" spans="6:7" ht="15" x14ac:dyDescent="0.25">
      <c r="F2449" s="3" t="s">
        <v>2596</v>
      </c>
      <c r="G2449" s="3">
        <v>2.0599999999999999E-4</v>
      </c>
    </row>
    <row r="2450" spans="6:7" ht="15" x14ac:dyDescent="0.25">
      <c r="F2450" s="3" t="s">
        <v>2597</v>
      </c>
      <c r="G2450" s="3">
        <v>3.0899999999999998E-4</v>
      </c>
    </row>
    <row r="2451" spans="6:7" ht="15" x14ac:dyDescent="0.25">
      <c r="F2451" s="3" t="s">
        <v>2598</v>
      </c>
      <c r="G2451" s="3">
        <v>4.1199999999999999E-4</v>
      </c>
    </row>
    <row r="2452" spans="6:7" ht="15" x14ac:dyDescent="0.25">
      <c r="F2452" s="3" t="s">
        <v>2599</v>
      </c>
      <c r="G2452" s="3">
        <v>3.4499999999999999E-3</v>
      </c>
    </row>
    <row r="2453" spans="6:7" ht="15" x14ac:dyDescent="0.25">
      <c r="F2453" s="3" t="s">
        <v>2600</v>
      </c>
      <c r="G2453" s="3">
        <v>7.3230000000000003E-2</v>
      </c>
    </row>
    <row r="2454" spans="6:7" ht="15" x14ac:dyDescent="0.25">
      <c r="F2454" s="3" t="s">
        <v>2601</v>
      </c>
      <c r="G2454" s="3">
        <v>0.10134</v>
      </c>
    </row>
    <row r="2455" spans="6:7" ht="15" x14ac:dyDescent="0.25">
      <c r="F2455" s="3" t="s">
        <v>2602</v>
      </c>
      <c r="G2455" s="3">
        <v>1.9300000000000001E-2</v>
      </c>
    </row>
    <row r="2456" spans="6:7" ht="15" x14ac:dyDescent="0.25">
      <c r="F2456" s="3" t="s">
        <v>2603</v>
      </c>
      <c r="G2456" s="3">
        <v>2.29E-2</v>
      </c>
    </row>
    <row r="2457" spans="6:7" ht="15" x14ac:dyDescent="0.25">
      <c r="F2457" s="3" t="s">
        <v>2604</v>
      </c>
      <c r="G2457" s="3">
        <v>2.9399999999999999E-2</v>
      </c>
    </row>
    <row r="2458" spans="6:7" ht="15" x14ac:dyDescent="0.25">
      <c r="F2458" s="3" t="s">
        <v>2605</v>
      </c>
      <c r="G2458" s="3">
        <v>7.0599999999999996E-2</v>
      </c>
    </row>
    <row r="2459" spans="6:7" ht="15" x14ac:dyDescent="0.25">
      <c r="F2459" s="3" t="s">
        <v>2606</v>
      </c>
      <c r="G2459" s="3">
        <v>7.9899999999999999E-2</v>
      </c>
    </row>
    <row r="2460" spans="6:7" ht="15" x14ac:dyDescent="0.25">
      <c r="F2460" s="3" t="s">
        <v>2607</v>
      </c>
      <c r="G2460" s="3">
        <v>0.16323687000000001</v>
      </c>
    </row>
    <row r="2461" spans="6:7" ht="15" x14ac:dyDescent="0.25">
      <c r="F2461" s="3" t="s">
        <v>2608</v>
      </c>
      <c r="G2461" s="3">
        <v>0.16323687000000001</v>
      </c>
    </row>
    <row r="2462" spans="6:7" ht="15" x14ac:dyDescent="0.25">
      <c r="F2462" s="3" t="s">
        <v>2609</v>
      </c>
      <c r="G2462" s="3">
        <v>0.16323687000000001</v>
      </c>
    </row>
    <row r="2463" spans="6:7" ht="15" x14ac:dyDescent="0.25">
      <c r="F2463" s="3" t="s">
        <v>2610</v>
      </c>
      <c r="G2463" s="3">
        <v>0.16323687000000001</v>
      </c>
    </row>
    <row r="2464" spans="6:7" ht="15" x14ac:dyDescent="0.25">
      <c r="F2464" s="3" t="s">
        <v>2611</v>
      </c>
      <c r="G2464" s="3">
        <v>2.6220000000000002E-3</v>
      </c>
    </row>
    <row r="2465" spans="6:7" ht="15" x14ac:dyDescent="0.25">
      <c r="F2465" s="3" t="s">
        <v>2612</v>
      </c>
      <c r="G2465" s="3">
        <v>3.6719999999999999E-3</v>
      </c>
    </row>
    <row r="2466" spans="6:7" ht="15" x14ac:dyDescent="0.25">
      <c r="F2466" s="3" t="s">
        <v>2613</v>
      </c>
      <c r="G2466" s="3">
        <v>5.0715999999999997E-2</v>
      </c>
    </row>
    <row r="2467" spans="6:7" ht="15" x14ac:dyDescent="0.25">
      <c r="F2467" s="3" t="s">
        <v>2614</v>
      </c>
      <c r="G2467" s="3">
        <v>0.17266799999999999</v>
      </c>
    </row>
    <row r="2468" spans="6:7" ht="15" x14ac:dyDescent="0.25">
      <c r="F2468" s="3" t="s">
        <v>2615</v>
      </c>
      <c r="G2468" s="3">
        <v>4.3300000000000001E-4</v>
      </c>
    </row>
    <row r="2469" spans="6:7" ht="15" x14ac:dyDescent="0.25">
      <c r="F2469" s="3" t="s">
        <v>2616</v>
      </c>
      <c r="G2469" s="3">
        <v>1.6800000000000001E-3</v>
      </c>
    </row>
    <row r="2470" spans="6:7" ht="15" x14ac:dyDescent="0.25">
      <c r="F2470" s="3" t="s">
        <v>2617</v>
      </c>
      <c r="G2470" s="3">
        <v>4.3300000000000001E-4</v>
      </c>
    </row>
    <row r="2471" spans="6:7" ht="15" x14ac:dyDescent="0.25">
      <c r="F2471" s="3" t="s">
        <v>2618</v>
      </c>
      <c r="G2471" s="3">
        <v>1.6800000000000001E-3</v>
      </c>
    </row>
    <row r="2472" spans="6:7" ht="15" x14ac:dyDescent="0.25">
      <c r="F2472" s="3" t="s">
        <v>2619</v>
      </c>
      <c r="G2472" s="3">
        <v>3.6716000000000001E-3</v>
      </c>
    </row>
    <row r="2473" spans="6:7" ht="15" x14ac:dyDescent="0.25">
      <c r="F2473" s="3" t="s">
        <v>2620</v>
      </c>
      <c r="G2473" s="3">
        <v>5.0715999999999997E-2</v>
      </c>
    </row>
    <row r="2474" spans="6:7" ht="15" x14ac:dyDescent="0.25">
      <c r="F2474" s="3" t="s">
        <v>2621</v>
      </c>
      <c r="G2474" s="3">
        <v>0.17266799999999999</v>
      </c>
    </row>
    <row r="2475" spans="6:7" ht="15" x14ac:dyDescent="0.25">
      <c r="F2475" s="3" t="s">
        <v>2622</v>
      </c>
      <c r="G2475" s="3">
        <v>2.5000000000000001E-2</v>
      </c>
    </row>
    <row r="2476" spans="6:7" ht="15" x14ac:dyDescent="0.25">
      <c r="F2476" s="3" t="s">
        <v>2623</v>
      </c>
      <c r="G2476" s="3">
        <v>3.4000000000000002E-2</v>
      </c>
    </row>
    <row r="2477" spans="6:7" ht="15" x14ac:dyDescent="0.25">
      <c r="F2477" s="3" t="s">
        <v>2624</v>
      </c>
      <c r="G2477" s="3">
        <v>1.06E-4</v>
      </c>
    </row>
    <row r="2478" spans="6:7" ht="15" x14ac:dyDescent="0.25">
      <c r="F2478" s="3" t="s">
        <v>2625</v>
      </c>
      <c r="G2478" s="3">
        <v>1</v>
      </c>
    </row>
    <row r="2479" spans="6:7" ht="15" x14ac:dyDescent="0.25">
      <c r="F2479" s="3" t="s">
        <v>2626</v>
      </c>
      <c r="G2479" s="3">
        <v>8.5700000000000001E-4</v>
      </c>
    </row>
    <row r="2480" spans="6:7" ht="15" x14ac:dyDescent="0.25">
      <c r="F2480" s="3" t="s">
        <v>2627</v>
      </c>
      <c r="G2480" s="3">
        <v>9.6500000000000004E-4</v>
      </c>
    </row>
    <row r="2481" spans="6:7" ht="15" x14ac:dyDescent="0.25">
      <c r="F2481" s="3" t="s">
        <v>2628</v>
      </c>
      <c r="G2481" s="3">
        <v>2.4169999999999999E-3</v>
      </c>
    </row>
    <row r="2482" spans="6:7" ht="15" x14ac:dyDescent="0.25">
      <c r="F2482" s="3" t="s">
        <v>2629</v>
      </c>
      <c r="G2482" s="3">
        <v>6.437E-3</v>
      </c>
    </row>
    <row r="2483" spans="6:7" ht="15" x14ac:dyDescent="0.25">
      <c r="F2483" s="3" t="s">
        <v>2630</v>
      </c>
      <c r="G2483" s="3">
        <v>2.3094E-2</v>
      </c>
    </row>
    <row r="2484" spans="6:7" ht="15" x14ac:dyDescent="0.25">
      <c r="F2484" s="3" t="s">
        <v>2631</v>
      </c>
      <c r="G2484" s="3">
        <v>3.4172000000000001E-2</v>
      </c>
    </row>
    <row r="2485" spans="6:7" ht="15" x14ac:dyDescent="0.25">
      <c r="F2485" s="3" t="s">
        <v>2632</v>
      </c>
      <c r="G2485" s="3">
        <v>5.2859000000000003E-2</v>
      </c>
    </row>
    <row r="2486" spans="6:7" ht="15" x14ac:dyDescent="0.25">
      <c r="F2486" s="3" t="s">
        <v>2633</v>
      </c>
      <c r="G2486" s="3">
        <v>0.124182</v>
      </c>
    </row>
    <row r="2487" spans="6:7" ht="15" x14ac:dyDescent="0.25">
      <c r="F2487" s="3" t="s">
        <v>2634</v>
      </c>
      <c r="G2487" s="3">
        <v>0.28951900000000003</v>
      </c>
    </row>
    <row r="2488" spans="6:7" ht="15" x14ac:dyDescent="0.25">
      <c r="F2488" s="3" t="s">
        <v>2635</v>
      </c>
      <c r="G2488" s="3">
        <v>0.57285600000000003</v>
      </c>
    </row>
    <row r="2489" spans="6:7" ht="15" x14ac:dyDescent="0.25">
      <c r="F2489" s="3" t="s">
        <v>2636</v>
      </c>
      <c r="G2489" s="3">
        <v>1</v>
      </c>
    </row>
    <row r="2490" spans="6:7" ht="15" x14ac:dyDescent="0.25">
      <c r="F2490" s="3" t="s">
        <v>2637</v>
      </c>
      <c r="G2490" s="3">
        <v>1</v>
      </c>
    </row>
    <row r="2491" spans="6:7" ht="15" x14ac:dyDescent="0.25">
      <c r="F2491" s="3" t="s">
        <v>2638</v>
      </c>
      <c r="G2491" s="3">
        <v>2.1800000000000001E-4</v>
      </c>
    </row>
    <row r="2492" spans="6:7" ht="15" x14ac:dyDescent="0.25">
      <c r="F2492" s="3" t="s">
        <v>2639</v>
      </c>
      <c r="G2492" s="3">
        <v>3.4601E-4</v>
      </c>
    </row>
    <row r="2493" spans="6:7" ht="15" x14ac:dyDescent="0.25">
      <c r="F2493" s="3" t="s">
        <v>2640</v>
      </c>
      <c r="G2493" s="3">
        <v>0.29855371000000003</v>
      </c>
    </row>
    <row r="2494" spans="6:7" ht="15" x14ac:dyDescent="0.25">
      <c r="F2494" s="3" t="s">
        <v>2641</v>
      </c>
      <c r="G2494" s="3">
        <v>0.45312904999999998</v>
      </c>
    </row>
    <row r="2495" spans="6:7" ht="15" x14ac:dyDescent="0.25">
      <c r="F2495" s="3" t="s">
        <v>2642</v>
      </c>
      <c r="G2495" s="3">
        <v>9.5600000000000004E-4</v>
      </c>
    </row>
    <row r="2496" spans="6:7" ht="15" x14ac:dyDescent="0.25">
      <c r="F2496" s="3" t="s">
        <v>2643</v>
      </c>
      <c r="G2496" s="3">
        <v>1</v>
      </c>
    </row>
    <row r="2497" spans="6:7" ht="15" x14ac:dyDescent="0.25">
      <c r="F2497" s="3" t="s">
        <v>2644</v>
      </c>
      <c r="G2497" s="3">
        <v>9.1219999999999999E-3</v>
      </c>
    </row>
    <row r="2498" spans="6:7" ht="15" x14ac:dyDescent="0.25">
      <c r="F2498" s="3" t="s">
        <v>2645</v>
      </c>
      <c r="G2498" s="3">
        <v>1.2293E-2</v>
      </c>
    </row>
    <row r="2499" spans="6:7" ht="15" x14ac:dyDescent="0.25">
      <c r="F2499" s="3" t="s">
        <v>2646</v>
      </c>
      <c r="G2499" s="3">
        <v>1.9373999999999999E-2</v>
      </c>
    </row>
    <row r="2500" spans="6:7" ht="15" x14ac:dyDescent="0.25">
      <c r="F2500" s="3" t="s">
        <v>2647</v>
      </c>
      <c r="G2500" s="3">
        <v>4.1580000000000002E-3</v>
      </c>
    </row>
    <row r="2501" spans="6:7" ht="15" x14ac:dyDescent="0.25">
      <c r="F2501" s="3" t="s">
        <v>2648</v>
      </c>
      <c r="G2501" s="3">
        <v>9.2010000000000008E-3</v>
      </c>
    </row>
    <row r="2502" spans="6:7" ht="15" x14ac:dyDescent="0.25">
      <c r="F2502" s="3" t="s">
        <v>2649</v>
      </c>
      <c r="G2502" s="3">
        <v>1.1435000000000001E-2</v>
      </c>
    </row>
    <row r="2503" spans="6:7" ht="15" x14ac:dyDescent="0.25">
      <c r="F2503" s="3" t="s">
        <v>2650</v>
      </c>
      <c r="G2503" s="3">
        <v>1.3708E-2</v>
      </c>
    </row>
    <row r="2504" spans="6:7" ht="15" x14ac:dyDescent="0.25">
      <c r="F2504" s="3" t="s">
        <v>2651</v>
      </c>
      <c r="G2504" s="3">
        <v>5.9734000000000002E-2</v>
      </c>
    </row>
    <row r="2505" spans="6:7" ht="15" x14ac:dyDescent="0.25">
      <c r="F2505" s="3" t="s">
        <v>2652</v>
      </c>
      <c r="G2505" s="3">
        <v>0.194688</v>
      </c>
    </row>
    <row r="2506" spans="6:7" ht="15" x14ac:dyDescent="0.25">
      <c r="F2506" s="3" t="s">
        <v>2653</v>
      </c>
      <c r="G2506" s="3">
        <v>1.2033E-3</v>
      </c>
    </row>
    <row r="2507" spans="6:7" ht="15" x14ac:dyDescent="0.25">
      <c r="F2507" s="3" t="s">
        <v>2654</v>
      </c>
      <c r="G2507" s="3">
        <v>1.9638899999999998E-3</v>
      </c>
    </row>
    <row r="2508" spans="6:7" ht="15" x14ac:dyDescent="0.25">
      <c r="F2508" s="3" t="s">
        <v>2655</v>
      </c>
      <c r="G2508" s="3">
        <v>3.0140800000000001E-3</v>
      </c>
    </row>
    <row r="2509" spans="6:7" ht="15" x14ac:dyDescent="0.25">
      <c r="F2509" s="3" t="s">
        <v>2656</v>
      </c>
      <c r="G2509" s="3">
        <v>0.17624777999999999</v>
      </c>
    </row>
    <row r="2510" spans="6:7" ht="15" x14ac:dyDescent="0.25">
      <c r="F2510" s="3" t="s">
        <v>2657</v>
      </c>
      <c r="G2510" s="3">
        <v>1.03E-4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194"/>
  <sheetViews>
    <sheetView topLeftCell="A124" workbookViewId="0">
      <selection sqref="A1:XFD1048576"/>
    </sheetView>
  </sheetViews>
  <sheetFormatPr defaultRowHeight="15" x14ac:dyDescent="0.25"/>
  <sheetData>
    <row r="1" spans="1:4" x14ac:dyDescent="0.25">
      <c r="A1" t="s">
        <v>2914</v>
      </c>
      <c r="B1">
        <v>20211013</v>
      </c>
      <c r="C1" t="s">
        <v>93</v>
      </c>
      <c r="D1">
        <v>1</v>
      </c>
    </row>
    <row r="2" spans="1:4" x14ac:dyDescent="0.25">
      <c r="A2" t="s">
        <v>2718</v>
      </c>
      <c r="B2" t="s">
        <v>2719</v>
      </c>
      <c r="C2" t="s">
        <v>2720</v>
      </c>
      <c r="D2">
        <v>6.0099000000000003E-3</v>
      </c>
    </row>
    <row r="3" spans="1:4" x14ac:dyDescent="0.25">
      <c r="A3" t="s">
        <v>2718</v>
      </c>
      <c r="B3" t="s">
        <v>2719</v>
      </c>
      <c r="C3" t="s">
        <v>2721</v>
      </c>
      <c r="D3">
        <v>0.23521</v>
      </c>
    </row>
    <row r="4" spans="1:4" x14ac:dyDescent="0.25">
      <c r="A4" t="s">
        <v>2718</v>
      </c>
      <c r="B4" t="s">
        <v>2719</v>
      </c>
      <c r="C4" t="s">
        <v>2722</v>
      </c>
      <c r="D4">
        <v>9.5995999999999998E-3</v>
      </c>
    </row>
    <row r="5" spans="1:4" x14ac:dyDescent="0.25">
      <c r="A5" t="s">
        <v>2718</v>
      </c>
      <c r="B5" t="s">
        <v>2719</v>
      </c>
      <c r="C5" t="s">
        <v>2723</v>
      </c>
      <c r="D5">
        <v>9.5995999999999998E-3</v>
      </c>
    </row>
    <row r="6" spans="1:4" x14ac:dyDescent="0.25">
      <c r="A6" t="s">
        <v>2718</v>
      </c>
      <c r="B6" t="s">
        <v>2719</v>
      </c>
      <c r="C6" t="s">
        <v>83</v>
      </c>
      <c r="D6">
        <v>8.2348999999999999E-3</v>
      </c>
    </row>
    <row r="7" spans="1:4" x14ac:dyDescent="0.25">
      <c r="A7" t="s">
        <v>2718</v>
      </c>
      <c r="B7" t="s">
        <v>2719</v>
      </c>
      <c r="C7" t="s">
        <v>2724</v>
      </c>
      <c r="D7">
        <v>1.8018000000000001E-3</v>
      </c>
    </row>
    <row r="8" spans="1:4" x14ac:dyDescent="0.25">
      <c r="A8" t="s">
        <v>2718</v>
      </c>
      <c r="B8" t="s">
        <v>2719</v>
      </c>
      <c r="C8" t="s">
        <v>2725</v>
      </c>
      <c r="D8">
        <v>0.48895</v>
      </c>
    </row>
    <row r="9" spans="1:4" x14ac:dyDescent="0.25">
      <c r="A9" t="s">
        <v>2718</v>
      </c>
      <c r="B9" t="s">
        <v>2719</v>
      </c>
      <c r="C9" t="s">
        <v>2726</v>
      </c>
      <c r="D9">
        <v>1.4376E-3</v>
      </c>
    </row>
    <row r="10" spans="1:4" x14ac:dyDescent="0.25">
      <c r="A10" t="s">
        <v>2718</v>
      </c>
      <c r="B10" t="s">
        <v>2719</v>
      </c>
      <c r="C10" t="s">
        <v>2727</v>
      </c>
      <c r="D10">
        <v>1.4376E-3</v>
      </c>
    </row>
    <row r="11" spans="1:4" x14ac:dyDescent="0.25">
      <c r="A11" t="s">
        <v>2718</v>
      </c>
      <c r="B11" t="s">
        <v>2719</v>
      </c>
      <c r="C11" t="s">
        <v>2728</v>
      </c>
      <c r="D11">
        <v>8.7159000000000004E-3</v>
      </c>
    </row>
    <row r="12" spans="1:4" x14ac:dyDescent="0.25">
      <c r="A12" t="s">
        <v>2718</v>
      </c>
      <c r="B12" t="s">
        <v>2719</v>
      </c>
      <c r="C12" t="s">
        <v>2729</v>
      </c>
      <c r="D12">
        <v>7.2673000000000001E-2</v>
      </c>
    </row>
    <row r="13" spans="1:4" x14ac:dyDescent="0.25">
      <c r="A13" t="s">
        <v>2718</v>
      </c>
      <c r="B13" t="s">
        <v>2719</v>
      </c>
      <c r="C13" t="s">
        <v>2730</v>
      </c>
      <c r="D13">
        <v>0.63692000000000004</v>
      </c>
    </row>
    <row r="14" spans="1:4" x14ac:dyDescent="0.25">
      <c r="A14" t="s">
        <v>2718</v>
      </c>
      <c r="B14" t="s">
        <v>2719</v>
      </c>
      <c r="C14" t="s">
        <v>2731</v>
      </c>
      <c r="D14">
        <v>0.47732999999999998</v>
      </c>
    </row>
    <row r="15" spans="1:4" x14ac:dyDescent="0.25">
      <c r="A15" t="s">
        <v>2718</v>
      </c>
      <c r="B15" t="s">
        <v>2719</v>
      </c>
      <c r="C15" t="s">
        <v>2732</v>
      </c>
      <c r="D15">
        <v>1.8755000000000001E-4</v>
      </c>
    </row>
    <row r="16" spans="1:4" x14ac:dyDescent="0.25">
      <c r="A16" t="s">
        <v>2718</v>
      </c>
      <c r="B16" t="s">
        <v>2719</v>
      </c>
      <c r="C16" t="s">
        <v>2733</v>
      </c>
      <c r="D16">
        <v>0.51</v>
      </c>
    </row>
    <row r="17" spans="1:4" x14ac:dyDescent="0.25">
      <c r="A17" t="s">
        <v>2718</v>
      </c>
      <c r="B17" t="s">
        <v>2719</v>
      </c>
      <c r="C17" t="s">
        <v>2734</v>
      </c>
      <c r="D17">
        <v>0.4279</v>
      </c>
    </row>
    <row r="18" spans="1:4" x14ac:dyDescent="0.25">
      <c r="A18" t="s">
        <v>2718</v>
      </c>
      <c r="B18" t="s">
        <v>2719</v>
      </c>
      <c r="C18" t="s">
        <v>2735</v>
      </c>
      <c r="D18">
        <v>1.0090999999999999E-2</v>
      </c>
    </row>
    <row r="19" spans="1:4" x14ac:dyDescent="0.25">
      <c r="A19" t="s">
        <v>2718</v>
      </c>
      <c r="B19" t="s">
        <v>2719</v>
      </c>
      <c r="C19" t="s">
        <v>2736</v>
      </c>
      <c r="D19">
        <v>2.4788999999999999E-2</v>
      </c>
    </row>
    <row r="20" spans="1:4" x14ac:dyDescent="0.25">
      <c r="A20" t="s">
        <v>2718</v>
      </c>
      <c r="B20" t="s">
        <v>2719</v>
      </c>
      <c r="C20" t="s">
        <v>2737</v>
      </c>
      <c r="D20">
        <v>0.51129999999999998</v>
      </c>
    </row>
    <row r="21" spans="1:4" x14ac:dyDescent="0.25">
      <c r="A21" t="s">
        <v>2718</v>
      </c>
      <c r="B21" t="s">
        <v>2719</v>
      </c>
      <c r="C21" t="s">
        <v>2738</v>
      </c>
      <c r="D21">
        <v>2.29209</v>
      </c>
    </row>
    <row r="22" spans="1:4" x14ac:dyDescent="0.25">
      <c r="A22" t="s">
        <v>2718</v>
      </c>
      <c r="B22" t="s">
        <v>2719</v>
      </c>
      <c r="C22" t="s">
        <v>2739</v>
      </c>
      <c r="D22">
        <v>4.3454000000000002E-4</v>
      </c>
    </row>
    <row r="23" spans="1:4" x14ac:dyDescent="0.25">
      <c r="A23" t="s">
        <v>2718</v>
      </c>
      <c r="B23" t="s">
        <v>2719</v>
      </c>
      <c r="C23" t="s">
        <v>2740</v>
      </c>
      <c r="D23">
        <v>0.86397000000000002</v>
      </c>
    </row>
    <row r="24" spans="1:4" x14ac:dyDescent="0.25">
      <c r="A24" t="s">
        <v>2718</v>
      </c>
      <c r="B24" t="s">
        <v>2719</v>
      </c>
      <c r="C24" t="s">
        <v>2741</v>
      </c>
      <c r="D24">
        <v>0.63895999999999997</v>
      </c>
    </row>
    <row r="25" spans="1:4" x14ac:dyDescent="0.25">
      <c r="A25" t="s">
        <v>2718</v>
      </c>
      <c r="B25" t="s">
        <v>2719</v>
      </c>
      <c r="C25" t="s">
        <v>2742</v>
      </c>
      <c r="D25">
        <v>0.12485</v>
      </c>
    </row>
    <row r="26" spans="1:4" x14ac:dyDescent="0.25">
      <c r="A26" t="s">
        <v>2718</v>
      </c>
      <c r="B26" t="s">
        <v>2719</v>
      </c>
      <c r="C26" t="s">
        <v>2743</v>
      </c>
      <c r="D26">
        <v>0.15562999999999999</v>
      </c>
    </row>
    <row r="27" spans="1:4" x14ac:dyDescent="0.25">
      <c r="A27" t="s">
        <v>2718</v>
      </c>
      <c r="B27" t="s">
        <v>2719</v>
      </c>
      <c r="C27" t="s">
        <v>2744</v>
      </c>
      <c r="D27">
        <v>0.86397000000000002</v>
      </c>
    </row>
    <row r="28" spans="1:4" x14ac:dyDescent="0.25">
      <c r="A28" t="s">
        <v>2718</v>
      </c>
      <c r="B28" t="s">
        <v>2719</v>
      </c>
      <c r="C28" t="s">
        <v>2745</v>
      </c>
      <c r="D28">
        <v>1.1457999999999999E-2</v>
      </c>
    </row>
    <row r="29" spans="1:4" x14ac:dyDescent="0.25">
      <c r="A29" t="s">
        <v>2718</v>
      </c>
      <c r="B29" t="s">
        <v>2719</v>
      </c>
      <c r="C29" t="s">
        <v>2746</v>
      </c>
      <c r="D29">
        <v>7.6331999999999997E-2</v>
      </c>
    </row>
    <row r="30" spans="1:4" x14ac:dyDescent="0.25">
      <c r="A30" t="s">
        <v>2718</v>
      </c>
      <c r="B30" t="s">
        <v>2719</v>
      </c>
      <c r="C30" t="s">
        <v>2747</v>
      </c>
      <c r="D30">
        <v>3.4928000000000002E-5</v>
      </c>
    </row>
    <row r="31" spans="1:4" x14ac:dyDescent="0.25">
      <c r="A31" t="s">
        <v>2718</v>
      </c>
      <c r="B31" t="s">
        <v>2719</v>
      </c>
      <c r="C31" t="s">
        <v>2748</v>
      </c>
      <c r="D31">
        <v>0.42862</v>
      </c>
    </row>
    <row r="32" spans="1:4" x14ac:dyDescent="0.25">
      <c r="A32" t="s">
        <v>2718</v>
      </c>
      <c r="B32" t="s">
        <v>2719</v>
      </c>
      <c r="C32" t="s">
        <v>2749</v>
      </c>
      <c r="D32">
        <v>0.69406000000000001</v>
      </c>
    </row>
    <row r="33" spans="1:4" x14ac:dyDescent="0.25">
      <c r="A33" t="s">
        <v>2718</v>
      </c>
      <c r="B33" t="s">
        <v>2719</v>
      </c>
      <c r="C33" t="s">
        <v>2750</v>
      </c>
      <c r="D33">
        <v>4.3069000000000001E-4</v>
      </c>
    </row>
    <row r="34" spans="1:4" x14ac:dyDescent="0.25">
      <c r="A34" t="s">
        <v>2718</v>
      </c>
      <c r="B34" t="s">
        <v>2719</v>
      </c>
      <c r="C34" t="s">
        <v>2751</v>
      </c>
      <c r="D34">
        <v>0.93271000000000004</v>
      </c>
    </row>
    <row r="35" spans="1:4" x14ac:dyDescent="0.25">
      <c r="A35" t="s">
        <v>2718</v>
      </c>
      <c r="B35" t="s">
        <v>2719</v>
      </c>
      <c r="C35" t="s">
        <v>2752</v>
      </c>
      <c r="D35">
        <v>31.729569999999999</v>
      </c>
    </row>
    <row r="36" spans="1:4" x14ac:dyDescent="0.25">
      <c r="A36" t="s">
        <v>2718</v>
      </c>
      <c r="B36" t="s">
        <v>2719</v>
      </c>
      <c r="C36" t="s">
        <v>2753</v>
      </c>
      <c r="D36">
        <v>1.0517E-3</v>
      </c>
    </row>
    <row r="37" spans="1:4" x14ac:dyDescent="0.25">
      <c r="A37" t="s">
        <v>2718</v>
      </c>
      <c r="B37" t="s">
        <v>2719</v>
      </c>
      <c r="C37" t="s">
        <v>2754</v>
      </c>
      <c r="D37">
        <v>0.13383999999999999</v>
      </c>
    </row>
    <row r="38" spans="1:4" x14ac:dyDescent="0.25">
      <c r="A38" t="s">
        <v>2718</v>
      </c>
      <c r="B38" t="s">
        <v>2719</v>
      </c>
      <c r="C38" t="s">
        <v>2755</v>
      </c>
      <c r="D38">
        <v>0.13400000000000001</v>
      </c>
    </row>
    <row r="39" spans="1:4" x14ac:dyDescent="0.25">
      <c r="A39" t="s">
        <v>2718</v>
      </c>
      <c r="B39" t="s">
        <v>2719</v>
      </c>
      <c r="C39" t="s">
        <v>2756</v>
      </c>
      <c r="D39">
        <v>2.3228999999999999E-4</v>
      </c>
    </row>
    <row r="40" spans="1:4" x14ac:dyDescent="0.25">
      <c r="A40" t="s">
        <v>2718</v>
      </c>
      <c r="B40" t="s">
        <v>2719</v>
      </c>
      <c r="C40" t="s">
        <v>2757</v>
      </c>
      <c r="D40">
        <v>1.3753999999999999E-3</v>
      </c>
    </row>
    <row r="41" spans="1:4" x14ac:dyDescent="0.25">
      <c r="A41" t="s">
        <v>2718</v>
      </c>
      <c r="B41" t="s">
        <v>2719</v>
      </c>
      <c r="C41" t="s">
        <v>2758</v>
      </c>
      <c r="D41">
        <v>9.0284000000000007E-3</v>
      </c>
    </row>
    <row r="42" spans="1:4" x14ac:dyDescent="0.25">
      <c r="A42" t="s">
        <v>2718</v>
      </c>
      <c r="B42" t="s">
        <v>2719</v>
      </c>
      <c r="C42" t="s">
        <v>2759</v>
      </c>
      <c r="D42">
        <v>1.7085999999999999</v>
      </c>
    </row>
    <row r="43" spans="1:4" x14ac:dyDescent="0.25">
      <c r="A43" t="s">
        <v>2718</v>
      </c>
      <c r="B43" t="s">
        <v>2719</v>
      </c>
      <c r="C43" t="s">
        <v>2760</v>
      </c>
      <c r="D43">
        <v>3.9419999999999997E-2</v>
      </c>
    </row>
    <row r="44" spans="1:4" x14ac:dyDescent="0.25">
      <c r="A44" t="s">
        <v>2718</v>
      </c>
      <c r="B44" t="s">
        <v>2719</v>
      </c>
      <c r="C44" t="s">
        <v>2761</v>
      </c>
      <c r="D44">
        <v>0.51129000000000002</v>
      </c>
    </row>
    <row r="45" spans="1:4" x14ac:dyDescent="0.25">
      <c r="A45" t="s">
        <v>2718</v>
      </c>
      <c r="B45" t="s">
        <v>2719</v>
      </c>
      <c r="C45" t="s">
        <v>2762</v>
      </c>
      <c r="D45">
        <v>4.8530999999999999E-3</v>
      </c>
    </row>
    <row r="46" spans="1:4" x14ac:dyDescent="0.25">
      <c r="A46" t="s">
        <v>2718</v>
      </c>
      <c r="B46" t="s">
        <v>2719</v>
      </c>
      <c r="C46" t="s">
        <v>2763</v>
      </c>
      <c r="D46">
        <v>0.13439000000000001</v>
      </c>
    </row>
    <row r="47" spans="1:4" x14ac:dyDescent="0.25">
      <c r="A47" t="s">
        <v>2718</v>
      </c>
      <c r="B47" t="s">
        <v>2719</v>
      </c>
      <c r="C47" t="s">
        <v>2764</v>
      </c>
      <c r="D47">
        <v>1.5334E-2</v>
      </c>
    </row>
    <row r="48" spans="1:4" x14ac:dyDescent="0.25">
      <c r="A48" t="s">
        <v>2718</v>
      </c>
      <c r="B48" t="s">
        <v>2719</v>
      </c>
      <c r="C48" t="s">
        <v>2765</v>
      </c>
      <c r="D48">
        <v>6.3079E-3</v>
      </c>
    </row>
    <row r="49" spans="1:4" x14ac:dyDescent="0.25">
      <c r="A49" t="s">
        <v>2718</v>
      </c>
      <c r="B49" t="s">
        <v>2719</v>
      </c>
      <c r="C49" t="s">
        <v>2766</v>
      </c>
      <c r="D49">
        <v>3.4558999999999999E-5</v>
      </c>
    </row>
    <row r="50" spans="1:4" x14ac:dyDescent="0.25">
      <c r="A50" t="s">
        <v>2718</v>
      </c>
      <c r="B50" t="s">
        <v>2719</v>
      </c>
      <c r="C50" t="s">
        <v>2767</v>
      </c>
      <c r="D50">
        <v>6.3911999999999997E-2</v>
      </c>
    </row>
    <row r="51" spans="1:4" x14ac:dyDescent="0.25">
      <c r="A51" t="s">
        <v>2718</v>
      </c>
      <c r="B51" t="s">
        <v>2719</v>
      </c>
      <c r="C51" t="s">
        <v>2768</v>
      </c>
      <c r="D51">
        <v>5.4995000000000002E-2</v>
      </c>
    </row>
    <row r="52" spans="1:4" x14ac:dyDescent="0.25">
      <c r="A52" t="s">
        <v>2718</v>
      </c>
      <c r="B52" t="s">
        <v>2719</v>
      </c>
      <c r="C52" t="s">
        <v>2769</v>
      </c>
      <c r="D52">
        <v>5.7311000000000001E-2</v>
      </c>
    </row>
    <row r="53" spans="1:4" x14ac:dyDescent="0.25">
      <c r="A53" t="s">
        <v>2718</v>
      </c>
      <c r="B53" t="s">
        <v>2719</v>
      </c>
      <c r="C53" t="s">
        <v>2770</v>
      </c>
      <c r="D53">
        <v>6.0101E-3</v>
      </c>
    </row>
    <row r="54" spans="1:4" x14ac:dyDescent="0.25">
      <c r="A54" t="s">
        <v>2718</v>
      </c>
      <c r="B54" t="s">
        <v>2719</v>
      </c>
      <c r="C54" t="s">
        <v>2771</v>
      </c>
      <c r="D54">
        <v>1.8540000000000001E-2</v>
      </c>
    </row>
    <row r="55" spans="1:4" x14ac:dyDescent="0.25">
      <c r="A55" t="s">
        <v>2718</v>
      </c>
      <c r="B55" t="s">
        <v>2719</v>
      </c>
      <c r="C55" t="s">
        <v>2772</v>
      </c>
      <c r="D55">
        <v>0.16819000000000001</v>
      </c>
    </row>
    <row r="56" spans="1:4" x14ac:dyDescent="0.25">
      <c r="A56" t="s">
        <v>2718</v>
      </c>
      <c r="B56" t="s">
        <v>2719</v>
      </c>
      <c r="C56" t="s">
        <v>2773</v>
      </c>
      <c r="D56">
        <v>0.41150999999999999</v>
      </c>
    </row>
    <row r="57" spans="1:4" x14ac:dyDescent="0.25">
      <c r="A57" t="s">
        <v>2718</v>
      </c>
      <c r="B57" t="s">
        <v>2719</v>
      </c>
      <c r="C57" t="s">
        <v>2774</v>
      </c>
      <c r="D57">
        <v>0.63324999999999998</v>
      </c>
    </row>
    <row r="58" spans="1:4" x14ac:dyDescent="0.25">
      <c r="A58" t="s">
        <v>2718</v>
      </c>
      <c r="B58" t="s">
        <v>2719</v>
      </c>
      <c r="C58" t="s">
        <v>2775</v>
      </c>
      <c r="D58">
        <v>0.15245</v>
      </c>
    </row>
    <row r="59" spans="1:4" x14ac:dyDescent="0.25">
      <c r="A59" t="s">
        <v>2718</v>
      </c>
      <c r="B59" t="s">
        <v>2719</v>
      </c>
      <c r="C59" t="s">
        <v>2776</v>
      </c>
      <c r="D59">
        <v>1.1778</v>
      </c>
    </row>
    <row r="60" spans="1:4" x14ac:dyDescent="0.25">
      <c r="A60" t="s">
        <v>2718</v>
      </c>
      <c r="B60" t="s">
        <v>2719</v>
      </c>
      <c r="C60" t="s">
        <v>2777</v>
      </c>
      <c r="D60">
        <v>0.27576000000000001</v>
      </c>
    </row>
    <row r="61" spans="1:4" x14ac:dyDescent="0.25">
      <c r="A61" t="s">
        <v>2718</v>
      </c>
      <c r="B61" t="s">
        <v>2719</v>
      </c>
      <c r="C61" t="s">
        <v>2778</v>
      </c>
      <c r="D61">
        <v>0.14238999999999999</v>
      </c>
    </row>
    <row r="62" spans="1:4" x14ac:dyDescent="0.25">
      <c r="A62" t="s">
        <v>2718</v>
      </c>
      <c r="B62" t="s">
        <v>2719</v>
      </c>
      <c r="C62" t="s">
        <v>2779</v>
      </c>
      <c r="D62">
        <v>1.17876</v>
      </c>
    </row>
    <row r="63" spans="1:4" x14ac:dyDescent="0.25">
      <c r="A63" t="s">
        <v>2718</v>
      </c>
      <c r="B63" t="s">
        <v>2719</v>
      </c>
      <c r="C63" t="s">
        <v>2780</v>
      </c>
      <c r="D63">
        <v>1.6511999999999999E-2</v>
      </c>
    </row>
    <row r="64" spans="1:4" x14ac:dyDescent="0.25">
      <c r="A64" t="s">
        <v>2718</v>
      </c>
      <c r="B64" t="s">
        <v>2719</v>
      </c>
      <c r="C64" t="s">
        <v>2781</v>
      </c>
      <c r="D64">
        <v>8.8731000000000001E-5</v>
      </c>
    </row>
    <row r="65" spans="1:4" x14ac:dyDescent="0.25">
      <c r="A65" t="s">
        <v>2718</v>
      </c>
      <c r="B65" t="s">
        <v>2719</v>
      </c>
      <c r="C65" t="s">
        <v>2782</v>
      </c>
      <c r="D65">
        <v>2.9347000000000002E-3</v>
      </c>
    </row>
    <row r="66" spans="1:4" x14ac:dyDescent="0.25">
      <c r="A66" t="s">
        <v>2718</v>
      </c>
      <c r="B66" t="s">
        <v>2719</v>
      </c>
      <c r="C66" t="s">
        <v>2783</v>
      </c>
      <c r="D66">
        <v>0.11162</v>
      </c>
    </row>
    <row r="67" spans="1:4" x14ac:dyDescent="0.25">
      <c r="A67" t="s">
        <v>2718</v>
      </c>
      <c r="B67" t="s">
        <v>2719</v>
      </c>
      <c r="C67" t="s">
        <v>2784</v>
      </c>
      <c r="D67">
        <v>4.1295999999999998E-3</v>
      </c>
    </row>
    <row r="68" spans="1:4" x14ac:dyDescent="0.25">
      <c r="A68" t="s">
        <v>2718</v>
      </c>
      <c r="B68" t="s">
        <v>2719</v>
      </c>
      <c r="C68" t="s">
        <v>2785</v>
      </c>
      <c r="D68">
        <v>0.11105</v>
      </c>
    </row>
    <row r="69" spans="1:4" x14ac:dyDescent="0.25">
      <c r="A69" t="s">
        <v>2718</v>
      </c>
      <c r="B69" t="s">
        <v>2719</v>
      </c>
      <c r="C69" t="s">
        <v>2786</v>
      </c>
      <c r="D69">
        <v>3.5672000000000002E-2</v>
      </c>
    </row>
    <row r="70" spans="1:4" x14ac:dyDescent="0.25">
      <c r="A70" t="s">
        <v>2718</v>
      </c>
      <c r="B70" t="s">
        <v>2719</v>
      </c>
      <c r="C70" t="s">
        <v>2787</v>
      </c>
      <c r="D70">
        <v>0.13297999999999999</v>
      </c>
    </row>
    <row r="71" spans="1:4" x14ac:dyDescent="0.25">
      <c r="A71" t="s">
        <v>2718</v>
      </c>
      <c r="B71" t="s">
        <v>2719</v>
      </c>
      <c r="C71" t="s">
        <v>2788</v>
      </c>
      <c r="D71">
        <v>8.6830999999999992E-3</v>
      </c>
    </row>
    <row r="72" spans="1:4" x14ac:dyDescent="0.25">
      <c r="A72" t="s">
        <v>2718</v>
      </c>
      <c r="B72" t="s">
        <v>2719</v>
      </c>
      <c r="C72" t="s">
        <v>2789</v>
      </c>
      <c r="D72">
        <v>2.7745999999999999E-3</v>
      </c>
    </row>
    <row r="73" spans="1:4" x14ac:dyDescent="0.25">
      <c r="A73" t="s">
        <v>2718</v>
      </c>
      <c r="B73" t="s">
        <v>2719</v>
      </c>
      <c r="C73" t="s">
        <v>2790</v>
      </c>
      <c r="D73">
        <v>6.0757000000000001E-5</v>
      </c>
    </row>
    <row r="74" spans="1:4" x14ac:dyDescent="0.25">
      <c r="A74" t="s">
        <v>2718</v>
      </c>
      <c r="B74" t="s">
        <v>2719</v>
      </c>
      <c r="C74" t="s">
        <v>2791</v>
      </c>
      <c r="D74">
        <v>1.2697400000000001</v>
      </c>
    </row>
    <row r="75" spans="1:4" x14ac:dyDescent="0.25">
      <c r="A75" t="s">
        <v>2718</v>
      </c>
      <c r="B75" t="s">
        <v>2719</v>
      </c>
      <c r="C75" t="s">
        <v>2792</v>
      </c>
      <c r="D75">
        <v>0.26740000000000003</v>
      </c>
    </row>
    <row r="76" spans="1:4" x14ac:dyDescent="0.25">
      <c r="A76" t="s">
        <v>2718</v>
      </c>
      <c r="B76" t="s">
        <v>2719</v>
      </c>
      <c r="C76" t="s">
        <v>2793</v>
      </c>
      <c r="D76">
        <v>1.1468000000000001E-2</v>
      </c>
    </row>
    <row r="77" spans="1:4" x14ac:dyDescent="0.25">
      <c r="A77" t="s">
        <v>2718</v>
      </c>
      <c r="B77" t="s">
        <v>2719</v>
      </c>
      <c r="C77" t="s">
        <v>2794</v>
      </c>
      <c r="D77">
        <v>5.9115000000000003E-4</v>
      </c>
    </row>
    <row r="78" spans="1:4" x14ac:dyDescent="0.25">
      <c r="A78" t="s">
        <v>2718</v>
      </c>
      <c r="B78" t="s">
        <v>2719</v>
      </c>
      <c r="C78" t="s">
        <v>2795</v>
      </c>
      <c r="D78">
        <v>2.0571E-5</v>
      </c>
    </row>
    <row r="79" spans="1:4" x14ac:dyDescent="0.25">
      <c r="A79" t="s">
        <v>2718</v>
      </c>
      <c r="B79" t="s">
        <v>2719</v>
      </c>
      <c r="C79" t="s">
        <v>2796</v>
      </c>
      <c r="D79">
        <v>6.6836999999999999E-3</v>
      </c>
    </row>
    <row r="80" spans="1:4" x14ac:dyDescent="0.25">
      <c r="A80" t="s">
        <v>2718</v>
      </c>
      <c r="B80" t="s">
        <v>2719</v>
      </c>
      <c r="C80" t="s">
        <v>2797</v>
      </c>
      <c r="D80">
        <v>5.1646000000000005E-4</v>
      </c>
    </row>
    <row r="81" spans="1:4" x14ac:dyDescent="0.25">
      <c r="A81" t="s">
        <v>2718</v>
      </c>
      <c r="B81" t="s">
        <v>2719</v>
      </c>
      <c r="C81" t="s">
        <v>2798</v>
      </c>
      <c r="D81">
        <v>5.7597999999999998E-3</v>
      </c>
    </row>
    <row r="82" spans="1:4" x14ac:dyDescent="0.25">
      <c r="A82" t="s">
        <v>2718</v>
      </c>
      <c r="B82" t="s">
        <v>2719</v>
      </c>
      <c r="C82" t="s">
        <v>2799</v>
      </c>
      <c r="D82">
        <v>1.2185699999999999</v>
      </c>
    </row>
    <row r="83" spans="1:4" x14ac:dyDescent="0.25">
      <c r="A83" t="s">
        <v>2718</v>
      </c>
      <c r="B83" t="s">
        <v>2719</v>
      </c>
      <c r="C83" t="s">
        <v>2800</v>
      </c>
      <c r="D83">
        <v>7.6224999999999999E-3</v>
      </c>
    </row>
    <row r="84" spans="1:4" x14ac:dyDescent="0.25">
      <c r="A84" t="s">
        <v>2718</v>
      </c>
      <c r="B84" t="s">
        <v>2719</v>
      </c>
      <c r="C84" t="s">
        <v>2801</v>
      </c>
      <c r="D84">
        <v>7.7939999999999997E-3</v>
      </c>
    </row>
    <row r="85" spans="1:4" x14ac:dyDescent="0.25">
      <c r="A85" t="s">
        <v>2718</v>
      </c>
      <c r="B85" t="s">
        <v>2719</v>
      </c>
      <c r="C85" t="s">
        <v>2802</v>
      </c>
      <c r="D85">
        <v>1.017E-2</v>
      </c>
    </row>
    <row r="86" spans="1:4" x14ac:dyDescent="0.25">
      <c r="A86" t="s">
        <v>2718</v>
      </c>
      <c r="B86" t="s">
        <v>2719</v>
      </c>
      <c r="C86" t="s">
        <v>2803</v>
      </c>
      <c r="D86">
        <v>2.1175999999999999E-4</v>
      </c>
    </row>
    <row r="87" spans="1:4" x14ac:dyDescent="0.25">
      <c r="A87" t="s">
        <v>2718</v>
      </c>
      <c r="B87" t="s">
        <v>2719</v>
      </c>
      <c r="C87" t="s">
        <v>2804</v>
      </c>
      <c r="D87">
        <v>2.0238000000000001E-3</v>
      </c>
    </row>
    <row r="88" spans="1:4" x14ac:dyDescent="0.25">
      <c r="A88" t="s">
        <v>2718</v>
      </c>
      <c r="B88" t="s">
        <v>2719</v>
      </c>
      <c r="C88" t="s">
        <v>2805</v>
      </c>
      <c r="D88">
        <v>0.39271</v>
      </c>
    </row>
    <row r="89" spans="1:4" x14ac:dyDescent="0.25">
      <c r="A89" t="s">
        <v>2718</v>
      </c>
      <c r="B89" t="s">
        <v>2719</v>
      </c>
      <c r="C89" t="s">
        <v>2806</v>
      </c>
      <c r="D89">
        <v>7.2371000000000002E-4</v>
      </c>
    </row>
    <row r="90" spans="1:4" x14ac:dyDescent="0.25">
      <c r="A90" t="s">
        <v>2718</v>
      </c>
      <c r="B90" t="s">
        <v>2719</v>
      </c>
      <c r="C90" t="s">
        <v>2807</v>
      </c>
      <c r="D90">
        <v>2.8626200000000002</v>
      </c>
    </row>
    <row r="91" spans="1:4" x14ac:dyDescent="0.25">
      <c r="A91" t="s">
        <v>2718</v>
      </c>
      <c r="B91" t="s">
        <v>2719</v>
      </c>
      <c r="C91" t="s">
        <v>2808</v>
      </c>
      <c r="D91">
        <v>1.0409299999999999</v>
      </c>
    </row>
    <row r="92" spans="1:4" x14ac:dyDescent="0.25">
      <c r="A92" t="s">
        <v>2718</v>
      </c>
      <c r="B92" t="s">
        <v>2719</v>
      </c>
      <c r="C92" t="s">
        <v>2809</v>
      </c>
      <c r="D92">
        <v>2.0273999999999999E-3</v>
      </c>
    </row>
    <row r="93" spans="1:4" x14ac:dyDescent="0.25">
      <c r="A93" t="s">
        <v>2718</v>
      </c>
      <c r="B93" t="s">
        <v>2719</v>
      </c>
      <c r="C93" t="s">
        <v>2810</v>
      </c>
      <c r="D93">
        <v>8.5414999999999995E-5</v>
      </c>
    </row>
    <row r="94" spans="1:4" x14ac:dyDescent="0.25">
      <c r="A94" t="s">
        <v>2718</v>
      </c>
      <c r="B94" t="s">
        <v>2719</v>
      </c>
      <c r="C94" t="s">
        <v>2811</v>
      </c>
      <c r="D94">
        <v>5.7132999999999999E-4</v>
      </c>
    </row>
    <row r="95" spans="1:4" x14ac:dyDescent="0.25">
      <c r="A95" t="s">
        <v>2718</v>
      </c>
      <c r="B95" t="s">
        <v>2719</v>
      </c>
      <c r="C95" t="s">
        <v>2812</v>
      </c>
      <c r="D95">
        <v>4.2770999999999998E-3</v>
      </c>
    </row>
    <row r="96" spans="1:4" x14ac:dyDescent="0.25">
      <c r="A96" t="s">
        <v>2718</v>
      </c>
      <c r="B96" t="s">
        <v>2719</v>
      </c>
      <c r="C96" t="s">
        <v>2813</v>
      </c>
      <c r="D96">
        <v>5.1967999999999997E-3</v>
      </c>
    </row>
    <row r="97" spans="1:4" x14ac:dyDescent="0.25">
      <c r="A97" t="s">
        <v>2718</v>
      </c>
      <c r="B97" t="s">
        <v>2719</v>
      </c>
      <c r="C97" t="s">
        <v>2814</v>
      </c>
      <c r="D97">
        <v>5.8248000000000001E-2</v>
      </c>
    </row>
    <row r="98" spans="1:4" x14ac:dyDescent="0.25">
      <c r="A98" t="s">
        <v>2718</v>
      </c>
      <c r="B98" t="s">
        <v>2719</v>
      </c>
      <c r="C98" t="s">
        <v>2815</v>
      </c>
      <c r="D98">
        <v>0.28961999999999999</v>
      </c>
    </row>
    <row r="99" spans="1:4" x14ac:dyDescent="0.25">
      <c r="A99" t="s">
        <v>2718</v>
      </c>
      <c r="B99" t="s">
        <v>2719</v>
      </c>
      <c r="C99" t="s">
        <v>2816</v>
      </c>
      <c r="D99">
        <v>2.4788999999999999E-2</v>
      </c>
    </row>
    <row r="100" spans="1:4" x14ac:dyDescent="0.25">
      <c r="A100" t="s">
        <v>2718</v>
      </c>
      <c r="B100" t="s">
        <v>2719</v>
      </c>
      <c r="C100" t="s">
        <v>2817</v>
      </c>
      <c r="D100">
        <v>1.4228700000000001</v>
      </c>
    </row>
    <row r="101" spans="1:4" x14ac:dyDescent="0.25">
      <c r="A101" t="s">
        <v>2718</v>
      </c>
      <c r="B101" t="s">
        <v>2719</v>
      </c>
      <c r="C101" t="s">
        <v>2818</v>
      </c>
      <c r="D101">
        <v>0.18928</v>
      </c>
    </row>
    <row r="102" spans="1:4" x14ac:dyDescent="0.25">
      <c r="A102" t="s">
        <v>2718</v>
      </c>
      <c r="B102" t="s">
        <v>2719</v>
      </c>
      <c r="C102" t="s">
        <v>2819</v>
      </c>
      <c r="D102">
        <v>9.5304E-2</v>
      </c>
    </row>
    <row r="103" spans="1:4" x14ac:dyDescent="0.25">
      <c r="A103" t="s">
        <v>2718</v>
      </c>
      <c r="B103" t="s">
        <v>2719</v>
      </c>
      <c r="C103" t="s">
        <v>2820</v>
      </c>
      <c r="D103">
        <v>4.9896000000000003E-2</v>
      </c>
    </row>
    <row r="104" spans="1:4" x14ac:dyDescent="0.25">
      <c r="A104" t="s">
        <v>2718</v>
      </c>
      <c r="B104" t="s">
        <v>2719</v>
      </c>
      <c r="C104" t="s">
        <v>2821</v>
      </c>
      <c r="D104">
        <v>2.1735E-4</v>
      </c>
    </row>
    <row r="105" spans="1:4" x14ac:dyDescent="0.25">
      <c r="A105" t="s">
        <v>2718</v>
      </c>
      <c r="B105" t="s">
        <v>2719</v>
      </c>
      <c r="C105" t="s">
        <v>2822</v>
      </c>
      <c r="D105">
        <v>9.3150000000000001E-5</v>
      </c>
    </row>
    <row r="106" spans="1:4" x14ac:dyDescent="0.25">
      <c r="A106" t="s">
        <v>2718</v>
      </c>
      <c r="B106" t="s">
        <v>2719</v>
      </c>
      <c r="C106" t="s">
        <v>2823</v>
      </c>
      <c r="D106">
        <v>1.6216999999999999E-2</v>
      </c>
    </row>
    <row r="107" spans="1:4" x14ac:dyDescent="0.25">
      <c r="A107" t="s">
        <v>2718</v>
      </c>
      <c r="B107" t="s">
        <v>2719</v>
      </c>
      <c r="C107" t="s">
        <v>2824</v>
      </c>
      <c r="D107">
        <v>4.5115999999999998E-4</v>
      </c>
    </row>
    <row r="108" spans="1:4" x14ac:dyDescent="0.25">
      <c r="A108" t="s">
        <v>2718</v>
      </c>
      <c r="B108" t="s">
        <v>2719</v>
      </c>
      <c r="C108" t="s">
        <v>2825</v>
      </c>
      <c r="D108">
        <v>3.0262000000000003E-4</v>
      </c>
    </row>
    <row r="109" spans="1:4" x14ac:dyDescent="0.25">
      <c r="A109" t="s">
        <v>2718</v>
      </c>
      <c r="B109" t="s">
        <v>2719</v>
      </c>
      <c r="C109" t="s">
        <v>2826</v>
      </c>
      <c r="D109">
        <v>0.10773000000000001</v>
      </c>
    </row>
    <row r="110" spans="1:4" x14ac:dyDescent="0.25">
      <c r="A110" t="s">
        <v>2718</v>
      </c>
      <c r="B110" t="s">
        <v>2719</v>
      </c>
      <c r="C110" t="s">
        <v>2827</v>
      </c>
      <c r="D110">
        <v>2.4166999999999999E-3</v>
      </c>
    </row>
    <row r="111" spans="1:4" x14ac:dyDescent="0.25">
      <c r="A111" t="s">
        <v>2718</v>
      </c>
      <c r="B111" t="s">
        <v>2719</v>
      </c>
      <c r="C111" t="s">
        <v>2828</v>
      </c>
      <c r="D111">
        <v>2.3293699999999999</v>
      </c>
    </row>
    <row r="112" spans="1:4" x14ac:dyDescent="0.25">
      <c r="A112" t="s">
        <v>2718</v>
      </c>
      <c r="B112" t="s">
        <v>2719</v>
      </c>
      <c r="C112" t="s">
        <v>2829</v>
      </c>
      <c r="D112">
        <v>2.0139000000000001E-2</v>
      </c>
    </row>
    <row r="113" spans="1:4" x14ac:dyDescent="0.25">
      <c r="A113" t="s">
        <v>2718</v>
      </c>
      <c r="B113" t="s">
        <v>2719</v>
      </c>
      <c r="C113" t="s">
        <v>2830</v>
      </c>
      <c r="D113">
        <v>5.5884000000000003E-2</v>
      </c>
    </row>
    <row r="114" spans="1:4" x14ac:dyDescent="0.25">
      <c r="A114" t="s">
        <v>2718</v>
      </c>
      <c r="B114" t="s">
        <v>2719</v>
      </c>
      <c r="C114" t="s">
        <v>2831</v>
      </c>
      <c r="D114">
        <v>1.0581E-3</v>
      </c>
    </row>
    <row r="115" spans="1:4" x14ac:dyDescent="0.25">
      <c r="A115" t="s">
        <v>2718</v>
      </c>
      <c r="B115" t="s">
        <v>2719</v>
      </c>
      <c r="C115" t="s">
        <v>2832</v>
      </c>
      <c r="D115">
        <v>4.1743000000000002E-2</v>
      </c>
    </row>
    <row r="116" spans="1:4" x14ac:dyDescent="0.25">
      <c r="A116" t="s">
        <v>2718</v>
      </c>
      <c r="B116" t="s">
        <v>2719</v>
      </c>
      <c r="C116" t="s">
        <v>2833</v>
      </c>
      <c r="D116">
        <v>0.28988999999999998</v>
      </c>
    </row>
    <row r="117" spans="1:4" x14ac:dyDescent="0.25">
      <c r="A117" t="s">
        <v>2718</v>
      </c>
      <c r="B117" t="s">
        <v>2719</v>
      </c>
      <c r="C117" t="s">
        <v>2834</v>
      </c>
      <c r="D117">
        <v>0.20760000000000001</v>
      </c>
    </row>
    <row r="118" spans="1:4" x14ac:dyDescent="0.25">
      <c r="A118" t="s">
        <v>2718</v>
      </c>
      <c r="B118" t="s">
        <v>2719</v>
      </c>
      <c r="C118" t="s">
        <v>2835</v>
      </c>
      <c r="D118">
        <v>3.3408999999999998E-5</v>
      </c>
    </row>
    <row r="119" spans="1:4" x14ac:dyDescent="0.25">
      <c r="A119" t="s">
        <v>2718</v>
      </c>
      <c r="B119" t="s">
        <v>2719</v>
      </c>
      <c r="C119" t="s">
        <v>2836</v>
      </c>
      <c r="D119">
        <v>5.8111000000000003E-2</v>
      </c>
    </row>
    <row r="120" spans="1:4" x14ac:dyDescent="0.25">
      <c r="A120" t="s">
        <v>2718</v>
      </c>
      <c r="B120" t="s">
        <v>2719</v>
      </c>
      <c r="C120" t="s">
        <v>2837</v>
      </c>
      <c r="D120">
        <v>2.1029999999999998E-3</v>
      </c>
    </row>
    <row r="121" spans="1:4" x14ac:dyDescent="0.25">
      <c r="A121" t="s">
        <v>2718</v>
      </c>
      <c r="B121" t="s">
        <v>2719</v>
      </c>
      <c r="C121" t="s">
        <v>2838</v>
      </c>
      <c r="D121">
        <v>2.4541E-2</v>
      </c>
    </row>
    <row r="122" spans="1:4" x14ac:dyDescent="0.25">
      <c r="A122" t="s">
        <v>2718</v>
      </c>
      <c r="B122" t="s">
        <v>2719</v>
      </c>
      <c r="C122" t="s">
        <v>2839</v>
      </c>
      <c r="D122">
        <v>0.45378000000000002</v>
      </c>
    </row>
    <row r="123" spans="1:4" x14ac:dyDescent="0.25">
      <c r="A123" t="s">
        <v>2718</v>
      </c>
      <c r="B123" t="s">
        <v>2719</v>
      </c>
      <c r="C123" t="s">
        <v>2840</v>
      </c>
      <c r="D123">
        <v>0.10127</v>
      </c>
    </row>
    <row r="124" spans="1:4" x14ac:dyDescent="0.25">
      <c r="A124" t="s">
        <v>2718</v>
      </c>
      <c r="B124" t="s">
        <v>2719</v>
      </c>
      <c r="C124" t="s">
        <v>2841</v>
      </c>
      <c r="D124">
        <v>7.1644999999999999E-3</v>
      </c>
    </row>
    <row r="125" spans="1:4" x14ac:dyDescent="0.25">
      <c r="A125" t="s">
        <v>2718</v>
      </c>
      <c r="B125" t="s">
        <v>2719</v>
      </c>
      <c r="C125" t="s">
        <v>2842</v>
      </c>
      <c r="D125">
        <v>0.60102</v>
      </c>
    </row>
    <row r="126" spans="1:4" x14ac:dyDescent="0.25">
      <c r="A126" t="s">
        <v>2718</v>
      </c>
      <c r="B126" t="s">
        <v>2719</v>
      </c>
      <c r="C126" t="s">
        <v>2843</v>
      </c>
      <c r="D126">
        <v>2.2441599999999999</v>
      </c>
    </row>
    <row r="127" spans="1:4" x14ac:dyDescent="0.25">
      <c r="A127" t="s">
        <v>2718</v>
      </c>
      <c r="B127" t="s">
        <v>2719</v>
      </c>
      <c r="C127" t="s">
        <v>2844</v>
      </c>
      <c r="D127">
        <v>0.86397000000000002</v>
      </c>
    </row>
    <row r="128" spans="1:4" x14ac:dyDescent="0.25">
      <c r="A128" t="s">
        <v>2718</v>
      </c>
      <c r="B128" t="s">
        <v>2719</v>
      </c>
      <c r="C128" t="s">
        <v>2845</v>
      </c>
      <c r="D128">
        <v>0.21440000000000001</v>
      </c>
    </row>
    <row r="129" spans="1:4" x14ac:dyDescent="0.25">
      <c r="A129" t="s">
        <v>2718</v>
      </c>
      <c r="B129" t="s">
        <v>2719</v>
      </c>
      <c r="C129" t="s">
        <v>2846</v>
      </c>
      <c r="D129">
        <v>0.24299000000000001</v>
      </c>
    </row>
    <row r="130" spans="1:4" x14ac:dyDescent="0.25">
      <c r="A130" t="s">
        <v>2718</v>
      </c>
      <c r="B130" t="s">
        <v>2719</v>
      </c>
      <c r="C130" t="s">
        <v>2847</v>
      </c>
      <c r="D130">
        <v>1.7056000000000002E-2</v>
      </c>
    </row>
    <row r="131" spans="1:4" x14ac:dyDescent="0.25">
      <c r="A131" t="s">
        <v>2718</v>
      </c>
      <c r="B131" t="s">
        <v>2719</v>
      </c>
      <c r="C131" t="s">
        <v>2848</v>
      </c>
      <c r="D131">
        <v>5.0488E-3</v>
      </c>
    </row>
    <row r="132" spans="1:4" x14ac:dyDescent="0.25">
      <c r="A132" t="s">
        <v>2718</v>
      </c>
      <c r="B132" t="s">
        <v>2719</v>
      </c>
      <c r="C132" t="s">
        <v>2849</v>
      </c>
      <c r="D132">
        <v>0.21842</v>
      </c>
    </row>
    <row r="133" spans="1:4" x14ac:dyDescent="0.25">
      <c r="A133" t="s">
        <v>2718</v>
      </c>
      <c r="B133" t="s">
        <v>2719</v>
      </c>
      <c r="C133" t="s">
        <v>2850</v>
      </c>
      <c r="D133">
        <v>4.9880000000000002E-3</v>
      </c>
    </row>
    <row r="134" spans="1:4" x14ac:dyDescent="0.25">
      <c r="A134" t="s">
        <v>2718</v>
      </c>
      <c r="B134" t="s">
        <v>2719</v>
      </c>
      <c r="C134" t="s">
        <v>2851</v>
      </c>
      <c r="D134">
        <v>1.2520000000000001E-4</v>
      </c>
    </row>
    <row r="135" spans="1:4" x14ac:dyDescent="0.25">
      <c r="A135" t="s">
        <v>2718</v>
      </c>
      <c r="B135" t="s">
        <v>2719</v>
      </c>
      <c r="C135" t="s">
        <v>2852</v>
      </c>
      <c r="D135">
        <v>0.23604</v>
      </c>
    </row>
    <row r="136" spans="1:4" x14ac:dyDescent="0.25">
      <c r="A136" t="s">
        <v>2718</v>
      </c>
      <c r="B136" t="s">
        <v>2719</v>
      </c>
      <c r="C136" t="s">
        <v>2853</v>
      </c>
      <c r="D136">
        <v>2.0203E-5</v>
      </c>
    </row>
    <row r="137" spans="1:4" x14ac:dyDescent="0.25">
      <c r="A137" t="s">
        <v>2718</v>
      </c>
      <c r="B137" t="s">
        <v>2719</v>
      </c>
      <c r="C137" t="s">
        <v>2854</v>
      </c>
      <c r="D137">
        <v>0.20202999999999999</v>
      </c>
    </row>
    <row r="138" spans="1:4" x14ac:dyDescent="0.25">
      <c r="A138" t="s">
        <v>2718</v>
      </c>
      <c r="B138" t="s">
        <v>2719</v>
      </c>
      <c r="C138" t="s">
        <v>2855</v>
      </c>
      <c r="D138">
        <v>8.5065999999999996E-3</v>
      </c>
    </row>
    <row r="139" spans="1:4" x14ac:dyDescent="0.25">
      <c r="A139" t="s">
        <v>2718</v>
      </c>
      <c r="B139" t="s">
        <v>2719</v>
      </c>
      <c r="C139" t="s">
        <v>2856</v>
      </c>
      <c r="D139">
        <v>1.1991E-2</v>
      </c>
    </row>
    <row r="140" spans="1:4" x14ac:dyDescent="0.25">
      <c r="A140" t="s">
        <v>2718</v>
      </c>
      <c r="B140" t="s">
        <v>2719</v>
      </c>
      <c r="C140" t="s">
        <v>2857</v>
      </c>
      <c r="D140">
        <v>1.1991E-2</v>
      </c>
    </row>
    <row r="141" spans="1:4" x14ac:dyDescent="0.25">
      <c r="A141" t="s">
        <v>2718</v>
      </c>
      <c r="B141" t="s">
        <v>2719</v>
      </c>
      <c r="C141" t="s">
        <v>2858</v>
      </c>
      <c r="D141">
        <v>8.4922999999999997E-4</v>
      </c>
    </row>
    <row r="142" spans="1:4" x14ac:dyDescent="0.25">
      <c r="A142" t="s">
        <v>2718</v>
      </c>
      <c r="B142" t="s">
        <v>2719</v>
      </c>
      <c r="C142" t="s">
        <v>2859</v>
      </c>
      <c r="D142">
        <v>0.23035</v>
      </c>
    </row>
    <row r="143" spans="1:4" x14ac:dyDescent="0.25">
      <c r="A143" t="s">
        <v>2718</v>
      </c>
      <c r="B143" t="s">
        <v>2719</v>
      </c>
      <c r="C143" t="s">
        <v>2860</v>
      </c>
      <c r="D143">
        <v>6.9311499999999997</v>
      </c>
    </row>
    <row r="144" spans="1:4" x14ac:dyDescent="0.25">
      <c r="A144" t="s">
        <v>2718</v>
      </c>
      <c r="B144" t="s">
        <v>2719</v>
      </c>
      <c r="C144" t="s">
        <v>2861</v>
      </c>
      <c r="D144">
        <v>6.4209000000000002E-2</v>
      </c>
    </row>
    <row r="145" spans="1:4" x14ac:dyDescent="0.25">
      <c r="A145" t="s">
        <v>2718</v>
      </c>
      <c r="B145" t="s">
        <v>2719</v>
      </c>
      <c r="C145" t="s">
        <v>2862</v>
      </c>
      <c r="D145">
        <v>1.9610000000000001E-3</v>
      </c>
    </row>
    <row r="146" spans="1:4" x14ac:dyDescent="0.25">
      <c r="A146" t="s">
        <v>2718</v>
      </c>
      <c r="B146" t="s">
        <v>2719</v>
      </c>
      <c r="C146" t="s">
        <v>2863</v>
      </c>
      <c r="D146">
        <v>4.2548E-4</v>
      </c>
    </row>
    <row r="147" spans="1:4" x14ac:dyDescent="0.25">
      <c r="A147" t="s">
        <v>2718</v>
      </c>
      <c r="B147" t="s">
        <v>2719</v>
      </c>
      <c r="C147" t="s">
        <v>2864</v>
      </c>
      <c r="D147">
        <v>9.9096000000000004E-2</v>
      </c>
    </row>
    <row r="148" spans="1:4" x14ac:dyDescent="0.25">
      <c r="A148" t="s">
        <v>2718</v>
      </c>
      <c r="B148" t="s">
        <v>2719</v>
      </c>
      <c r="C148" t="s">
        <v>2865</v>
      </c>
      <c r="D148">
        <v>0.63895999999999997</v>
      </c>
    </row>
    <row r="149" spans="1:4" x14ac:dyDescent="0.25">
      <c r="A149" t="s">
        <v>2718</v>
      </c>
      <c r="B149" t="s">
        <v>2719</v>
      </c>
      <c r="C149" t="s">
        <v>2866</v>
      </c>
      <c r="D149">
        <v>0.63554999999999995</v>
      </c>
    </row>
    <row r="150" spans="1:4" x14ac:dyDescent="0.25">
      <c r="A150" t="s">
        <v>2718</v>
      </c>
      <c r="B150" t="s">
        <v>2719</v>
      </c>
      <c r="C150" t="s">
        <v>2867</v>
      </c>
      <c r="D150">
        <v>4.1729000000000002E-3</v>
      </c>
    </row>
    <row r="151" spans="1:4" x14ac:dyDescent="0.25">
      <c r="A151" t="s">
        <v>2718</v>
      </c>
      <c r="B151" t="s">
        <v>2719</v>
      </c>
      <c r="C151" t="s">
        <v>2868</v>
      </c>
      <c r="D151">
        <v>3.3194000000000001E-2</v>
      </c>
    </row>
    <row r="152" spans="1:4" x14ac:dyDescent="0.25">
      <c r="A152" t="s">
        <v>2718</v>
      </c>
      <c r="B152" t="s">
        <v>2719</v>
      </c>
      <c r="C152" t="s">
        <v>2869</v>
      </c>
      <c r="D152">
        <v>8.0971999999999997E-5</v>
      </c>
    </row>
    <row r="153" spans="1:4" x14ac:dyDescent="0.25">
      <c r="A153" t="s">
        <v>2718</v>
      </c>
      <c r="B153" t="s">
        <v>2719</v>
      </c>
      <c r="C153" t="s">
        <v>2870</v>
      </c>
      <c r="D153">
        <v>1.4935E-3</v>
      </c>
    </row>
    <row r="154" spans="1:4" x14ac:dyDescent="0.25">
      <c r="A154" t="s">
        <v>2718</v>
      </c>
      <c r="B154" t="s">
        <v>2719</v>
      </c>
      <c r="C154" t="s">
        <v>2871</v>
      </c>
      <c r="D154">
        <v>4.0391999999999997E-2</v>
      </c>
    </row>
    <row r="155" spans="1:4" x14ac:dyDescent="0.25">
      <c r="A155" t="s">
        <v>2718</v>
      </c>
      <c r="B155" t="s">
        <v>2719</v>
      </c>
      <c r="C155" t="s">
        <v>2872</v>
      </c>
      <c r="D155">
        <v>3.4352999999999999E-4</v>
      </c>
    </row>
    <row r="156" spans="1:4" x14ac:dyDescent="0.25">
      <c r="A156" t="s">
        <v>2718</v>
      </c>
      <c r="B156" t="s">
        <v>2719</v>
      </c>
      <c r="C156" t="s">
        <v>2873</v>
      </c>
      <c r="D156">
        <v>4.1072999999999998E-5</v>
      </c>
    </row>
    <row r="157" spans="1:4" x14ac:dyDescent="0.25">
      <c r="A157" t="s">
        <v>2718</v>
      </c>
      <c r="B157" t="s">
        <v>2719</v>
      </c>
      <c r="C157" t="s">
        <v>2874</v>
      </c>
      <c r="D157">
        <v>9.8687999999999998E-2</v>
      </c>
    </row>
    <row r="158" spans="1:4" x14ac:dyDescent="0.25">
      <c r="A158" t="s">
        <v>2718</v>
      </c>
      <c r="B158" t="s">
        <v>2719</v>
      </c>
      <c r="C158" t="s">
        <v>2875</v>
      </c>
      <c r="D158">
        <v>3.4400000000000001E-4</v>
      </c>
    </row>
    <row r="159" spans="1:4" x14ac:dyDescent="0.25">
      <c r="A159" t="s">
        <v>2718</v>
      </c>
      <c r="B159" t="s">
        <v>2719</v>
      </c>
      <c r="C159" t="s">
        <v>2876</v>
      </c>
      <c r="D159">
        <v>5.8248000000000001E-2</v>
      </c>
    </row>
    <row r="160" spans="1:4" x14ac:dyDescent="0.25">
      <c r="A160" t="s">
        <v>2718</v>
      </c>
      <c r="B160" t="s">
        <v>2719</v>
      </c>
      <c r="C160" t="s">
        <v>2877</v>
      </c>
      <c r="D160">
        <v>2.5998E-2</v>
      </c>
    </row>
    <row r="161" spans="1:4" x14ac:dyDescent="0.25">
      <c r="A161" t="s">
        <v>2718</v>
      </c>
      <c r="B161" t="s">
        <v>2719</v>
      </c>
      <c r="C161" t="s">
        <v>2878</v>
      </c>
      <c r="D161">
        <v>7.639E-2</v>
      </c>
    </row>
    <row r="162" spans="1:4" x14ac:dyDescent="0.25">
      <c r="A162" t="s">
        <v>2718</v>
      </c>
      <c r="B162" t="s">
        <v>2719</v>
      </c>
      <c r="C162" t="s">
        <v>2879</v>
      </c>
      <c r="D162">
        <v>0.2472</v>
      </c>
    </row>
    <row r="163" spans="1:4" x14ac:dyDescent="0.25">
      <c r="A163" t="s">
        <v>2718</v>
      </c>
      <c r="B163" t="s">
        <v>2719</v>
      </c>
      <c r="C163" t="s">
        <v>2880</v>
      </c>
      <c r="D163">
        <v>0.30710999999999999</v>
      </c>
    </row>
    <row r="164" spans="1:4" x14ac:dyDescent="0.25">
      <c r="A164" t="s">
        <v>2718</v>
      </c>
      <c r="B164" t="s">
        <v>2719</v>
      </c>
      <c r="C164" t="s">
        <v>2881</v>
      </c>
      <c r="D164">
        <v>0.38179999999999997</v>
      </c>
    </row>
    <row r="165" spans="1:4" x14ac:dyDescent="0.25">
      <c r="A165" t="s">
        <v>2718</v>
      </c>
      <c r="B165" t="s">
        <v>2719</v>
      </c>
      <c r="C165" t="s">
        <v>2882</v>
      </c>
      <c r="D165">
        <v>9.5237999999999996E-8</v>
      </c>
    </row>
    <row r="166" spans="1:4" x14ac:dyDescent="0.25">
      <c r="A166" t="s">
        <v>2718</v>
      </c>
      <c r="B166" t="s">
        <v>2719</v>
      </c>
      <c r="C166" t="s">
        <v>2883</v>
      </c>
      <c r="D166">
        <v>9.5238000000000003E-2</v>
      </c>
    </row>
    <row r="167" spans="1:4" x14ac:dyDescent="0.25">
      <c r="A167" t="s">
        <v>2718</v>
      </c>
      <c r="B167" t="s">
        <v>2719</v>
      </c>
      <c r="C167" t="s">
        <v>2884</v>
      </c>
      <c r="D167">
        <v>0.12720000000000001</v>
      </c>
    </row>
    <row r="168" spans="1:4" x14ac:dyDescent="0.25">
      <c r="A168" t="s">
        <v>2718</v>
      </c>
      <c r="B168" t="s">
        <v>2719</v>
      </c>
      <c r="C168" t="s">
        <v>2885</v>
      </c>
      <c r="D168">
        <v>3.0696999999999999E-2</v>
      </c>
    </row>
    <row r="169" spans="1:4" x14ac:dyDescent="0.25">
      <c r="A169" t="s">
        <v>2718</v>
      </c>
      <c r="B169" t="s">
        <v>2719</v>
      </c>
      <c r="C169" t="s">
        <v>2886</v>
      </c>
      <c r="D169">
        <v>3.7499000000000001E-4</v>
      </c>
    </row>
    <row r="170" spans="1:4" x14ac:dyDescent="0.25">
      <c r="A170" t="s">
        <v>2718</v>
      </c>
      <c r="B170" t="s">
        <v>2719</v>
      </c>
      <c r="C170" t="s">
        <v>2887</v>
      </c>
      <c r="D170">
        <v>3.2746999999999998E-2</v>
      </c>
    </row>
    <row r="171" spans="1:4" x14ac:dyDescent="0.25">
      <c r="A171" t="s">
        <v>2718</v>
      </c>
      <c r="B171" t="s">
        <v>2719</v>
      </c>
      <c r="C171" t="s">
        <v>2888</v>
      </c>
      <c r="D171">
        <v>0.28988999999999998</v>
      </c>
    </row>
    <row r="172" spans="1:4" x14ac:dyDescent="0.25">
      <c r="A172" t="s">
        <v>2718</v>
      </c>
      <c r="B172" t="s">
        <v>2719</v>
      </c>
      <c r="C172" t="s">
        <v>2889</v>
      </c>
      <c r="D172">
        <v>2.3999000000000001E-4</v>
      </c>
    </row>
    <row r="173" spans="1:4" x14ac:dyDescent="0.25">
      <c r="A173" t="s">
        <v>2718</v>
      </c>
      <c r="B173" t="s">
        <v>2719</v>
      </c>
      <c r="C173" t="s">
        <v>2890</v>
      </c>
      <c r="D173">
        <v>0.86397000000000002</v>
      </c>
    </row>
    <row r="174" spans="1:4" x14ac:dyDescent="0.25">
      <c r="A174" t="s">
        <v>2718</v>
      </c>
      <c r="B174" t="s">
        <v>2719</v>
      </c>
      <c r="C174" t="s">
        <v>2891</v>
      </c>
      <c r="D174">
        <v>1.9798E-2</v>
      </c>
    </row>
    <row r="175" spans="1:4" x14ac:dyDescent="0.25">
      <c r="A175" t="s">
        <v>2718</v>
      </c>
      <c r="B175" t="s">
        <v>2719</v>
      </c>
      <c r="C175" t="s">
        <v>2892</v>
      </c>
      <c r="D175">
        <v>8.0743999999999998E-5</v>
      </c>
    </row>
    <row r="176" spans="1:4" x14ac:dyDescent="0.25">
      <c r="A176" t="s">
        <v>2718</v>
      </c>
      <c r="B176" t="s">
        <v>2719</v>
      </c>
      <c r="C176" t="s">
        <v>2893</v>
      </c>
      <c r="D176">
        <v>3.4763999999999999E-6</v>
      </c>
    </row>
    <row r="177" spans="1:4" x14ac:dyDescent="0.25">
      <c r="A177" t="s">
        <v>2718</v>
      </c>
      <c r="B177" t="s">
        <v>2719</v>
      </c>
      <c r="C177" t="s">
        <v>2894</v>
      </c>
      <c r="D177">
        <v>3.7963000000000002E-5</v>
      </c>
    </row>
    <row r="178" spans="1:4" x14ac:dyDescent="0.25">
      <c r="A178" t="s">
        <v>2718</v>
      </c>
      <c r="B178" t="s">
        <v>2719</v>
      </c>
      <c r="C178" t="s">
        <v>2895</v>
      </c>
      <c r="D178">
        <v>7.7485999999999996E-3</v>
      </c>
    </row>
    <row r="179" spans="1:4" x14ac:dyDescent="0.25">
      <c r="A179" t="s">
        <v>2718</v>
      </c>
      <c r="B179" t="s">
        <v>2719</v>
      </c>
      <c r="C179" t="s">
        <v>2896</v>
      </c>
      <c r="D179">
        <v>0.33461000000000002</v>
      </c>
    </row>
    <row r="180" spans="1:4" x14ac:dyDescent="0.25">
      <c r="A180" t="s">
        <v>2718</v>
      </c>
      <c r="B180" t="s">
        <v>2719</v>
      </c>
      <c r="C180" t="s">
        <v>2897</v>
      </c>
      <c r="D180">
        <v>1.5009999999999999E-3</v>
      </c>
    </row>
    <row r="181" spans="1:4" x14ac:dyDescent="0.25">
      <c r="A181" t="s">
        <v>2718</v>
      </c>
      <c r="B181" t="s">
        <v>2719</v>
      </c>
      <c r="C181" t="s">
        <v>2898</v>
      </c>
      <c r="D181">
        <v>19.99654</v>
      </c>
    </row>
    <row r="182" spans="1:4" x14ac:dyDescent="0.25">
      <c r="A182" t="s">
        <v>2718</v>
      </c>
      <c r="B182" t="s">
        <v>2719</v>
      </c>
      <c r="C182" t="s">
        <v>2899</v>
      </c>
      <c r="D182">
        <v>1549.05179</v>
      </c>
    </row>
    <row r="183" spans="1:4" x14ac:dyDescent="0.25">
      <c r="A183" t="s">
        <v>2718</v>
      </c>
      <c r="B183" t="s">
        <v>2719</v>
      </c>
      <c r="C183" t="s">
        <v>2900</v>
      </c>
      <c r="D183">
        <v>0.31880999999999998</v>
      </c>
    </row>
    <row r="184" spans="1:4" x14ac:dyDescent="0.25">
      <c r="A184" t="s">
        <v>2718</v>
      </c>
      <c r="B184" t="s">
        <v>2719</v>
      </c>
      <c r="C184" t="s">
        <v>2901</v>
      </c>
      <c r="D184">
        <v>1.21766</v>
      </c>
    </row>
    <row r="185" spans="1:4" x14ac:dyDescent="0.25">
      <c r="A185" t="s">
        <v>2718</v>
      </c>
      <c r="B185" t="s">
        <v>2719</v>
      </c>
      <c r="C185" t="s">
        <v>2902</v>
      </c>
      <c r="D185">
        <v>1</v>
      </c>
    </row>
    <row r="186" spans="1:4" x14ac:dyDescent="0.25">
      <c r="A186" t="s">
        <v>2718</v>
      </c>
      <c r="B186" t="s">
        <v>2719</v>
      </c>
      <c r="C186" t="s">
        <v>2903</v>
      </c>
      <c r="D186">
        <v>1.5250999999999999E-3</v>
      </c>
    </row>
    <row r="187" spans="1:4" x14ac:dyDescent="0.25">
      <c r="A187" t="s">
        <v>2718</v>
      </c>
      <c r="B187" t="s">
        <v>2719</v>
      </c>
      <c r="C187" t="s">
        <v>2904</v>
      </c>
      <c r="D187">
        <v>1851.9374499999999</v>
      </c>
    </row>
    <row r="188" spans="1:4" x14ac:dyDescent="0.25">
      <c r="A188" t="s">
        <v>2718</v>
      </c>
      <c r="B188" t="s">
        <v>2719</v>
      </c>
      <c r="C188" t="s">
        <v>2905</v>
      </c>
      <c r="D188">
        <v>8.3669E-3</v>
      </c>
    </row>
    <row r="189" spans="1:4" x14ac:dyDescent="0.25">
      <c r="A189" t="s">
        <v>2718</v>
      </c>
      <c r="B189" t="s">
        <v>2719</v>
      </c>
      <c r="C189" t="s">
        <v>2906</v>
      </c>
      <c r="D189">
        <v>891.90030000000002</v>
      </c>
    </row>
    <row r="190" spans="1:4" x14ac:dyDescent="0.25">
      <c r="A190" t="s">
        <v>2718</v>
      </c>
      <c r="B190" t="s">
        <v>2719</v>
      </c>
      <c r="C190" t="s">
        <v>2907</v>
      </c>
      <c r="D190">
        <v>3.4524E-3</v>
      </c>
    </row>
    <row r="191" spans="1:4" x14ac:dyDescent="0.25">
      <c r="A191" t="s">
        <v>2718</v>
      </c>
      <c r="B191" t="s">
        <v>2719</v>
      </c>
      <c r="C191" t="s">
        <v>2908</v>
      </c>
      <c r="D191">
        <v>8.5032000000000007E-3</v>
      </c>
    </row>
    <row r="192" spans="1:4" x14ac:dyDescent="0.25">
      <c r="A192" t="s">
        <v>2718</v>
      </c>
      <c r="B192" t="s">
        <v>2719</v>
      </c>
      <c r="C192" t="s">
        <v>2909</v>
      </c>
      <c r="D192">
        <v>5.8252999999999999E-2</v>
      </c>
    </row>
    <row r="193" spans="1:4" x14ac:dyDescent="0.25">
      <c r="A193" t="s">
        <v>2718</v>
      </c>
      <c r="B193" t="s">
        <v>2719</v>
      </c>
      <c r="C193" t="s">
        <v>2910</v>
      </c>
      <c r="D193">
        <v>1.6631E-4</v>
      </c>
    </row>
    <row r="194" spans="1:4" x14ac:dyDescent="0.25">
      <c r="A194" t="s">
        <v>2718</v>
      </c>
      <c r="B194" t="s">
        <v>2719</v>
      </c>
      <c r="C194" t="s">
        <v>2911</v>
      </c>
      <c r="D194">
        <v>2.2766000000000002E-3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2DB8F-1B6C-4F77-9D7F-C431F9550BD6}">
  <sheetPr codeName="Sheet6">
    <tabColor theme="0"/>
  </sheetPr>
  <dimension ref="A1:B28"/>
  <sheetViews>
    <sheetView workbookViewId="0">
      <selection activeCell="B4" sqref="B4"/>
    </sheetView>
  </sheetViews>
  <sheetFormatPr defaultRowHeight="15" x14ac:dyDescent="0.25"/>
  <cols>
    <col min="1" max="1" width="12.140625" bestFit="1" customWidth="1"/>
    <col min="2" max="2" width="42.140625" customWidth="1"/>
  </cols>
  <sheetData>
    <row r="1" spans="1:2" x14ac:dyDescent="0.25">
      <c r="A1" s="264" t="s">
        <v>3246</v>
      </c>
      <c r="B1" s="264" t="s">
        <v>3245</v>
      </c>
    </row>
    <row r="2" spans="1:2" ht="45" x14ac:dyDescent="0.25">
      <c r="A2" s="265">
        <v>5</v>
      </c>
      <c r="B2" s="263" t="s">
        <v>3251</v>
      </c>
    </row>
    <row r="3" spans="1:2" ht="60" x14ac:dyDescent="0.25">
      <c r="A3" s="265">
        <v>6</v>
      </c>
      <c r="B3" s="263" t="s">
        <v>3262</v>
      </c>
    </row>
    <row r="4" spans="1:2" x14ac:dyDescent="0.25">
      <c r="A4" s="263"/>
      <c r="B4" s="263"/>
    </row>
    <row r="5" spans="1:2" x14ac:dyDescent="0.25">
      <c r="A5" s="263"/>
      <c r="B5" s="263"/>
    </row>
    <row r="6" spans="1:2" x14ac:dyDescent="0.25">
      <c r="A6" s="263"/>
      <c r="B6" s="263"/>
    </row>
    <row r="7" spans="1:2" x14ac:dyDescent="0.25">
      <c r="A7" s="263"/>
      <c r="B7" s="263"/>
    </row>
    <row r="8" spans="1:2" x14ac:dyDescent="0.25">
      <c r="A8" s="263"/>
      <c r="B8" s="263"/>
    </row>
    <row r="9" spans="1:2" x14ac:dyDescent="0.25">
      <c r="A9" s="263"/>
      <c r="B9" s="263"/>
    </row>
    <row r="10" spans="1:2" x14ac:dyDescent="0.25">
      <c r="A10" s="263"/>
      <c r="B10" s="263"/>
    </row>
    <row r="11" spans="1:2" x14ac:dyDescent="0.25">
      <c r="A11" s="263"/>
      <c r="B11" s="263"/>
    </row>
    <row r="12" spans="1:2" x14ac:dyDescent="0.25">
      <c r="A12" s="263"/>
      <c r="B12" s="263"/>
    </row>
    <row r="13" spans="1:2" x14ac:dyDescent="0.25">
      <c r="A13" s="263"/>
      <c r="B13" s="263"/>
    </row>
    <row r="14" spans="1:2" x14ac:dyDescent="0.25">
      <c r="A14" s="263"/>
      <c r="B14" s="263"/>
    </row>
    <row r="15" spans="1:2" x14ac:dyDescent="0.25">
      <c r="A15" s="263"/>
      <c r="B15" s="263"/>
    </row>
    <row r="16" spans="1:2" x14ac:dyDescent="0.25">
      <c r="A16" s="263"/>
      <c r="B16" s="263"/>
    </row>
    <row r="17" spans="1:2" x14ac:dyDescent="0.25">
      <c r="A17" s="263"/>
      <c r="B17" s="263"/>
    </row>
    <row r="18" spans="1:2" x14ac:dyDescent="0.25">
      <c r="A18" s="263"/>
      <c r="B18" s="263"/>
    </row>
    <row r="19" spans="1:2" x14ac:dyDescent="0.25">
      <c r="A19" s="263"/>
      <c r="B19" s="263"/>
    </row>
    <row r="20" spans="1:2" x14ac:dyDescent="0.25">
      <c r="A20" s="263"/>
      <c r="B20" s="263"/>
    </row>
    <row r="21" spans="1:2" x14ac:dyDescent="0.25">
      <c r="A21" s="263"/>
      <c r="B21" s="263"/>
    </row>
    <row r="22" spans="1:2" x14ac:dyDescent="0.25">
      <c r="A22" s="263"/>
      <c r="B22" s="263"/>
    </row>
    <row r="23" spans="1:2" x14ac:dyDescent="0.25">
      <c r="A23" s="263"/>
      <c r="B23" s="263"/>
    </row>
    <row r="24" spans="1:2" x14ac:dyDescent="0.25">
      <c r="A24" s="263"/>
      <c r="B24" s="263"/>
    </row>
    <row r="25" spans="1:2" x14ac:dyDescent="0.25">
      <c r="A25" s="263"/>
      <c r="B25" s="263"/>
    </row>
    <row r="26" spans="1:2" x14ac:dyDescent="0.25">
      <c r="A26" s="263"/>
      <c r="B26" s="263"/>
    </row>
    <row r="27" spans="1:2" x14ac:dyDescent="0.25">
      <c r="A27" s="263"/>
      <c r="B27" s="263"/>
    </row>
    <row r="28" spans="1:2" x14ac:dyDescent="0.25">
      <c r="A28" s="263"/>
      <c r="B28" s="26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-0.249977111117893"/>
  </sheetPr>
  <dimension ref="A1:CJ406"/>
  <sheetViews>
    <sheetView workbookViewId="0"/>
  </sheetViews>
  <sheetFormatPr defaultRowHeight="15" x14ac:dyDescent="0.25"/>
  <sheetData>
    <row r="1" spans="1:8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</row>
    <row r="2" spans="1:88" x14ac:dyDescent="0.25">
      <c r="A2" s="1"/>
      <c r="B2" s="42"/>
      <c r="C2" s="42" t="s">
        <v>92</v>
      </c>
      <c r="D2" s="42">
        <v>0</v>
      </c>
      <c r="E2" s="42">
        <v>12</v>
      </c>
      <c r="F2" s="42">
        <v>18</v>
      </c>
      <c r="G2" s="42">
        <v>24</v>
      </c>
      <c r="H2" s="42">
        <v>36</v>
      </c>
      <c r="I2" s="42">
        <v>48</v>
      </c>
      <c r="J2" s="42">
        <v>60</v>
      </c>
      <c r="K2" s="42">
        <v>72</v>
      </c>
      <c r="L2" s="42">
        <v>84</v>
      </c>
      <c r="M2" s="42">
        <v>120</v>
      </c>
      <c r="N2" s="42">
        <v>132</v>
      </c>
      <c r="O2" s="42">
        <v>144</v>
      </c>
      <c r="P2" s="42">
        <v>180</v>
      </c>
      <c r="Q2" s="42">
        <v>240</v>
      </c>
      <c r="R2" s="42">
        <v>300</v>
      </c>
      <c r="S2" s="42">
        <v>360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88" ht="15.75" thickBot="1" x14ac:dyDescent="0.3">
      <c r="A3" s="1"/>
      <c r="B3" s="39" t="s">
        <v>112</v>
      </c>
      <c r="C3" s="39" t="s">
        <v>111</v>
      </c>
      <c r="D3" s="39" t="s">
        <v>95</v>
      </c>
      <c r="E3" s="39" t="s">
        <v>97</v>
      </c>
      <c r="F3" s="39" t="s">
        <v>96</v>
      </c>
      <c r="G3" s="39" t="s">
        <v>98</v>
      </c>
      <c r="H3" s="39" t="s">
        <v>99</v>
      </c>
      <c r="I3" s="39" t="s">
        <v>100</v>
      </c>
      <c r="J3" s="39" t="s">
        <v>101</v>
      </c>
      <c r="K3" s="39" t="s">
        <v>102</v>
      </c>
      <c r="L3" s="39" t="s">
        <v>103</v>
      </c>
      <c r="M3" s="39" t="s">
        <v>104</v>
      </c>
      <c r="N3" s="39" t="s">
        <v>105</v>
      </c>
      <c r="O3" s="39" t="s">
        <v>106</v>
      </c>
      <c r="P3" s="39" t="s">
        <v>107</v>
      </c>
      <c r="Q3" s="39" t="s">
        <v>108</v>
      </c>
      <c r="R3" s="39" t="s">
        <v>109</v>
      </c>
      <c r="S3" s="39" t="s">
        <v>110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</row>
    <row r="4" spans="1:88" ht="16.5" thickTop="1" thickBot="1" x14ac:dyDescent="0.3">
      <c r="A4" s="1"/>
      <c r="B4" s="40" t="s">
        <v>93</v>
      </c>
      <c r="C4" s="41" t="s">
        <v>94</v>
      </c>
      <c r="D4" s="40">
        <v>0</v>
      </c>
      <c r="E4" s="40">
        <v>10</v>
      </c>
      <c r="F4" s="40">
        <v>15</v>
      </c>
      <c r="G4" s="40">
        <v>19</v>
      </c>
      <c r="H4" s="40">
        <v>28</v>
      </c>
      <c r="I4" s="40">
        <v>33</v>
      </c>
      <c r="J4" s="40">
        <v>34</v>
      </c>
      <c r="K4" s="40">
        <v>36</v>
      </c>
      <c r="L4" s="40">
        <v>37</v>
      </c>
      <c r="M4" s="40">
        <v>40</v>
      </c>
      <c r="N4" s="40">
        <v>40</v>
      </c>
      <c r="O4" s="40">
        <v>40</v>
      </c>
      <c r="P4" s="40">
        <v>40</v>
      </c>
      <c r="Q4" s="40">
        <v>40</v>
      </c>
      <c r="R4" s="40">
        <v>45</v>
      </c>
      <c r="S4" s="40">
        <v>50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</row>
    <row r="5" spans="1:88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</row>
    <row r="6" spans="1:88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</row>
    <row r="7" spans="1:88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</row>
    <row r="8" spans="1:88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</row>
    <row r="9" spans="1:88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</row>
    <row r="10" spans="1:88" ht="15.75" thickBo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</row>
    <row r="11" spans="1:88" ht="16.5" thickTop="1" thickBot="1" x14ac:dyDescent="0.3">
      <c r="A11" s="1"/>
      <c r="B11" s="1"/>
      <c r="C11" s="1"/>
      <c r="D11" s="1"/>
      <c r="E11" s="39" t="s">
        <v>95</v>
      </c>
      <c r="F11" s="40">
        <v>0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</row>
    <row r="12" spans="1:88" ht="16.5" thickTop="1" thickBot="1" x14ac:dyDescent="0.3">
      <c r="A12" s="1"/>
      <c r="B12" s="1"/>
      <c r="C12" s="1"/>
      <c r="D12" s="1"/>
      <c r="E12" s="39" t="s">
        <v>97</v>
      </c>
      <c r="F12" s="40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</row>
    <row r="13" spans="1:88" ht="16.5" thickTop="1" thickBot="1" x14ac:dyDescent="0.3">
      <c r="A13" s="1"/>
      <c r="B13" s="1"/>
      <c r="C13" s="1"/>
      <c r="D13" s="1"/>
      <c r="E13" s="39" t="s">
        <v>96</v>
      </c>
      <c r="F13" s="40">
        <v>15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</row>
    <row r="14" spans="1:88" ht="16.5" thickTop="1" thickBot="1" x14ac:dyDescent="0.3">
      <c r="A14" s="1"/>
      <c r="B14" s="1"/>
      <c r="C14" s="1"/>
      <c r="D14" s="1"/>
      <c r="E14" s="39" t="s">
        <v>98</v>
      </c>
      <c r="F14" s="40">
        <v>19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</row>
    <row r="15" spans="1:88" ht="16.5" thickTop="1" thickBot="1" x14ac:dyDescent="0.3">
      <c r="A15" s="1"/>
      <c r="B15" s="1"/>
      <c r="C15" s="1"/>
      <c r="D15" s="1"/>
      <c r="E15" s="39" t="s">
        <v>99</v>
      </c>
      <c r="F15" s="40">
        <v>28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</row>
    <row r="16" spans="1:88" ht="16.5" thickTop="1" thickBot="1" x14ac:dyDescent="0.3">
      <c r="A16" s="1"/>
      <c r="B16" s="1"/>
      <c r="C16" s="1"/>
      <c r="D16" s="1"/>
      <c r="E16" s="39" t="s">
        <v>100</v>
      </c>
      <c r="F16" s="40">
        <v>33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</row>
    <row r="17" spans="1:88" ht="16.5" thickTop="1" thickBot="1" x14ac:dyDescent="0.3">
      <c r="A17" s="1"/>
      <c r="B17" s="1"/>
      <c r="C17" s="1"/>
      <c r="D17" s="1"/>
      <c r="E17" s="39" t="s">
        <v>101</v>
      </c>
      <c r="F17" s="40">
        <v>34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</row>
    <row r="18" spans="1:88" ht="16.5" thickTop="1" thickBot="1" x14ac:dyDescent="0.3">
      <c r="A18" s="1"/>
      <c r="B18" s="1"/>
      <c r="C18" s="1"/>
      <c r="D18" s="1"/>
      <c r="E18" s="39" t="s">
        <v>102</v>
      </c>
      <c r="F18" s="40">
        <v>36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</row>
    <row r="19" spans="1:88" ht="16.5" thickTop="1" thickBot="1" x14ac:dyDescent="0.3">
      <c r="A19" s="1"/>
      <c r="B19" s="1"/>
      <c r="C19" s="1"/>
      <c r="D19" s="1"/>
      <c r="E19" s="39" t="s">
        <v>103</v>
      </c>
      <c r="F19" s="40">
        <v>37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</row>
    <row r="20" spans="1:88" ht="16.5" thickTop="1" thickBot="1" x14ac:dyDescent="0.3">
      <c r="A20" s="1"/>
      <c r="B20" s="1"/>
      <c r="C20" s="1"/>
      <c r="D20" s="1"/>
      <c r="E20" s="39" t="s">
        <v>104</v>
      </c>
      <c r="F20" s="40">
        <v>40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</row>
    <row r="21" spans="1:88" ht="16.5" thickTop="1" thickBot="1" x14ac:dyDescent="0.3">
      <c r="A21" s="1"/>
      <c r="B21" s="1"/>
      <c r="C21" s="1"/>
      <c r="D21" s="1"/>
      <c r="E21" s="39" t="s">
        <v>105</v>
      </c>
      <c r="F21" s="40">
        <v>40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</row>
    <row r="22" spans="1:88" ht="16.5" thickTop="1" thickBot="1" x14ac:dyDescent="0.3">
      <c r="A22" s="1"/>
      <c r="B22" s="1"/>
      <c r="C22" s="1"/>
      <c r="D22" s="1"/>
      <c r="E22" s="39" t="s">
        <v>106</v>
      </c>
      <c r="F22" s="40">
        <v>40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</row>
    <row r="23" spans="1:88" ht="16.5" thickTop="1" thickBot="1" x14ac:dyDescent="0.3">
      <c r="A23" s="1"/>
      <c r="B23" s="1"/>
      <c r="C23" s="1"/>
      <c r="D23" s="1"/>
      <c r="E23" s="39" t="s">
        <v>107</v>
      </c>
      <c r="F23" s="40">
        <v>40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</row>
    <row r="24" spans="1:88" ht="16.5" thickTop="1" thickBot="1" x14ac:dyDescent="0.3">
      <c r="A24" s="1"/>
      <c r="B24" s="1"/>
      <c r="C24" s="1"/>
      <c r="D24" s="1"/>
      <c r="E24" s="39" t="s">
        <v>108</v>
      </c>
      <c r="F24" s="40">
        <v>40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</row>
    <row r="25" spans="1:88" ht="16.5" thickTop="1" thickBot="1" x14ac:dyDescent="0.3">
      <c r="A25" s="1"/>
      <c r="B25" s="1"/>
      <c r="C25" s="1"/>
      <c r="D25" s="1"/>
      <c r="E25" s="39" t="s">
        <v>109</v>
      </c>
      <c r="F25" s="40">
        <v>45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</row>
    <row r="26" spans="1:88" ht="16.5" thickTop="1" thickBot="1" x14ac:dyDescent="0.3">
      <c r="A26" s="1"/>
      <c r="B26" s="1"/>
      <c r="C26" s="1"/>
      <c r="D26" s="1"/>
      <c r="E26" s="39" t="s">
        <v>110</v>
      </c>
      <c r="F26" s="40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</row>
    <row r="27" spans="1:88" ht="15.75" thickTop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</row>
    <row r="28" spans="1:8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</row>
    <row r="29" spans="1:8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</row>
    <row r="30" spans="1:8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</row>
    <row r="31" spans="1:8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</row>
    <row r="32" spans="1:8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</row>
    <row r="33" spans="1:8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</row>
    <row r="34" spans="1:8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</row>
    <row r="35" spans="1:8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</row>
    <row r="36" spans="1:8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</row>
    <row r="37" spans="1:8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</row>
    <row r="38" spans="1:8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</row>
    <row r="39" spans="1:8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</row>
    <row r="40" spans="1:8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</row>
    <row r="41" spans="1:8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</row>
    <row r="42" spans="1:8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</row>
    <row r="43" spans="1:8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</row>
    <row r="44" spans="1:8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</row>
    <row r="45" spans="1:8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</row>
    <row r="46" spans="1:8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</row>
    <row r="47" spans="1:8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</row>
    <row r="48" spans="1:8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</row>
    <row r="49" spans="1:8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</row>
    <row r="50" spans="1:8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</row>
    <row r="51" spans="1:8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</row>
    <row r="52" spans="1:8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</row>
    <row r="53" spans="1:8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</row>
    <row r="54" spans="1:8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</row>
    <row r="55" spans="1:8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</row>
    <row r="56" spans="1:8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</row>
    <row r="57" spans="1:8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</row>
    <row r="58" spans="1:8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</row>
    <row r="59" spans="1:8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</row>
    <row r="60" spans="1:8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</row>
    <row r="61" spans="1:8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</row>
    <row r="62" spans="1:8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</row>
    <row r="63" spans="1:8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</row>
    <row r="64" spans="1:8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</row>
    <row r="65" spans="1:8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</row>
    <row r="66" spans="1:8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</row>
    <row r="67" spans="1:8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</row>
    <row r="68" spans="1:8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</row>
    <row r="69" spans="1:8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</row>
    <row r="70" spans="1:8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</row>
    <row r="71" spans="1:8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</row>
    <row r="72" spans="1:8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</row>
    <row r="73" spans="1:8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</row>
    <row r="74" spans="1:8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</row>
    <row r="75" spans="1:8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</row>
    <row r="76" spans="1:8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</row>
    <row r="77" spans="1:8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</row>
    <row r="78" spans="1:8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</row>
    <row r="79" spans="1:8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</row>
    <row r="80" spans="1:8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</row>
    <row r="81" spans="1:8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</row>
    <row r="82" spans="1:8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</row>
    <row r="83" spans="1:8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</row>
    <row r="84" spans="1:8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</row>
    <row r="85" spans="1:8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</row>
    <row r="86" spans="1:8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</row>
    <row r="87" spans="1:8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</row>
    <row r="88" spans="1:8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</row>
    <row r="89" spans="1:8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</row>
    <row r="90" spans="1:8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</row>
    <row r="91" spans="1:8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</row>
    <row r="92" spans="1:8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</row>
    <row r="93" spans="1:8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</row>
    <row r="94" spans="1:8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</row>
    <row r="95" spans="1:8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</row>
    <row r="96" spans="1:8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</row>
    <row r="97" spans="1:8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</row>
    <row r="98" spans="1:8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</row>
    <row r="99" spans="1:8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</row>
    <row r="100" spans="1:8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</row>
    <row r="101" spans="1:8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</row>
    <row r="102" spans="1:8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</row>
    <row r="103" spans="1:8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</row>
    <row r="104" spans="1:8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</row>
    <row r="105" spans="1:8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</row>
    <row r="106" spans="1:8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</row>
    <row r="107" spans="1:8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</row>
    <row r="108" spans="1:8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</row>
    <row r="109" spans="1:8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</row>
    <row r="110" spans="1:8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</row>
    <row r="111" spans="1:8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</row>
    <row r="112" spans="1:8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</row>
    <row r="113" spans="1:8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</row>
    <row r="114" spans="1:8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</row>
    <row r="115" spans="1:8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</row>
    <row r="116" spans="1:8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</row>
    <row r="117" spans="1:8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</row>
    <row r="118" spans="1:8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</row>
    <row r="119" spans="1:8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</row>
    <row r="120" spans="1:8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</row>
    <row r="121" spans="1:8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</row>
    <row r="122" spans="1:8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</row>
    <row r="123" spans="1:8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</row>
    <row r="124" spans="1:8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</row>
    <row r="125" spans="1:8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</row>
    <row r="126" spans="1:8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</row>
    <row r="127" spans="1:8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</row>
    <row r="128" spans="1:8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</row>
    <row r="129" spans="1:8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</row>
    <row r="130" spans="1:8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</row>
    <row r="131" spans="1:8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</row>
    <row r="132" spans="1:8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</row>
    <row r="133" spans="1:8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</row>
    <row r="134" spans="1:8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</row>
    <row r="135" spans="1:8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</row>
    <row r="136" spans="1:8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</row>
    <row r="137" spans="1:8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</row>
    <row r="138" spans="1:8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</row>
    <row r="139" spans="1:8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</row>
    <row r="140" spans="1:8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</row>
    <row r="141" spans="1:8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</row>
    <row r="142" spans="1:8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</row>
    <row r="143" spans="1:8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</row>
    <row r="144" spans="1:8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</row>
    <row r="145" spans="1:8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</row>
    <row r="146" spans="1:8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</row>
    <row r="147" spans="1:8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</row>
    <row r="148" spans="1:8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</row>
    <row r="149" spans="1:8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</row>
    <row r="150" spans="1:8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</row>
    <row r="151" spans="1:8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</row>
    <row r="152" spans="1:8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</row>
    <row r="153" spans="1:8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</row>
    <row r="154" spans="1:8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</row>
    <row r="155" spans="1:8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</row>
    <row r="156" spans="1:8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</row>
    <row r="157" spans="1:8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</row>
    <row r="158" spans="1:8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</row>
    <row r="159" spans="1:8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</row>
    <row r="160" spans="1:8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</row>
    <row r="161" spans="1:8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</row>
    <row r="162" spans="1:8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</row>
    <row r="163" spans="1:8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</row>
    <row r="164" spans="1:8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</row>
    <row r="165" spans="1:8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</row>
    <row r="166" spans="1:8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</row>
    <row r="167" spans="1:8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</row>
    <row r="168" spans="1:8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</row>
    <row r="169" spans="1:8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</row>
    <row r="170" spans="1:8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</row>
    <row r="171" spans="1:8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</row>
    <row r="172" spans="1:8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</row>
    <row r="173" spans="1:8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</row>
    <row r="174" spans="1:8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</row>
    <row r="175" spans="1:8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</row>
    <row r="176" spans="1:8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</row>
    <row r="177" spans="1:8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</row>
    <row r="178" spans="1:8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</row>
    <row r="179" spans="1:8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</row>
    <row r="180" spans="1:8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</row>
    <row r="181" spans="1:8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</row>
    <row r="182" spans="1:8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</row>
    <row r="183" spans="1:8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</row>
    <row r="184" spans="1:8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</row>
    <row r="185" spans="1:8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</row>
    <row r="186" spans="1:8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</row>
    <row r="187" spans="1:8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</row>
    <row r="188" spans="1:8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</row>
    <row r="189" spans="1:8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</row>
    <row r="190" spans="1:8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</row>
    <row r="191" spans="1:8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</row>
    <row r="192" spans="1:8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</row>
    <row r="193" spans="1:8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</row>
    <row r="194" spans="1:8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</row>
    <row r="195" spans="1:8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</row>
    <row r="196" spans="1:8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</row>
    <row r="197" spans="1:8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</row>
    <row r="198" spans="1:8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</row>
    <row r="199" spans="1:8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</row>
    <row r="200" spans="1:8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</row>
    <row r="201" spans="1:8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</row>
    <row r="202" spans="1:8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</row>
    <row r="203" spans="1:8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</row>
    <row r="204" spans="1:8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</row>
    <row r="205" spans="1:8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</row>
    <row r="206" spans="1:8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</row>
    <row r="207" spans="1:8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</row>
    <row r="208" spans="1:8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</row>
    <row r="209" spans="1:8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</row>
    <row r="210" spans="1:8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</row>
    <row r="211" spans="1:8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</row>
    <row r="212" spans="1:8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</row>
    <row r="213" spans="1:8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</row>
    <row r="214" spans="1:8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</row>
    <row r="215" spans="1:8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</row>
    <row r="216" spans="1:8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</row>
    <row r="217" spans="1:8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</row>
    <row r="218" spans="1:8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</row>
    <row r="219" spans="1:8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</row>
    <row r="220" spans="1:8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</row>
    <row r="221" spans="1:8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</row>
    <row r="222" spans="1:8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</row>
    <row r="223" spans="1:8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</row>
    <row r="224" spans="1:8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</row>
    <row r="225" spans="1:8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</row>
    <row r="226" spans="1:8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</row>
    <row r="227" spans="1:8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</row>
    <row r="228" spans="1:8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</row>
    <row r="229" spans="1:8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</row>
    <row r="230" spans="1:8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</row>
    <row r="231" spans="1:8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</row>
    <row r="232" spans="1:8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</row>
    <row r="233" spans="1:8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</row>
    <row r="234" spans="1:8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</row>
    <row r="235" spans="1:8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</row>
    <row r="236" spans="1:8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</row>
    <row r="237" spans="1:8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</row>
    <row r="238" spans="1:8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</row>
    <row r="239" spans="1:8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</row>
    <row r="240" spans="1:8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</row>
    <row r="241" spans="1:8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</row>
    <row r="242" spans="1:8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</row>
    <row r="243" spans="1:8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</row>
    <row r="244" spans="1:8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</row>
    <row r="245" spans="1:8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</row>
    <row r="246" spans="1:8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</row>
    <row r="247" spans="1:8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</row>
    <row r="248" spans="1:8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</row>
    <row r="249" spans="1:8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</row>
    <row r="250" spans="1:8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</row>
    <row r="251" spans="1:8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</row>
    <row r="252" spans="1:8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</row>
    <row r="253" spans="1:8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</row>
    <row r="254" spans="1:8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</row>
    <row r="255" spans="1:8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</row>
    <row r="256" spans="1:8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</row>
    <row r="257" spans="1:8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</row>
    <row r="258" spans="1:8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</row>
    <row r="259" spans="1:8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</row>
    <row r="260" spans="1:8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</row>
    <row r="261" spans="1:8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</row>
    <row r="262" spans="1:8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</row>
    <row r="263" spans="1:8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</row>
    <row r="264" spans="1:8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</row>
    <row r="265" spans="1:8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</row>
    <row r="266" spans="1:8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</row>
    <row r="267" spans="1:8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</row>
    <row r="268" spans="1:8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</row>
    <row r="269" spans="1:8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</row>
    <row r="270" spans="1:8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</row>
    <row r="271" spans="1:8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</row>
    <row r="272" spans="1:8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</row>
    <row r="273" spans="1:8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</row>
    <row r="274" spans="1:8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</row>
    <row r="275" spans="1:8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</row>
    <row r="276" spans="1:8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</row>
    <row r="277" spans="1:8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</row>
    <row r="278" spans="1:8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</row>
    <row r="279" spans="1:8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</row>
    <row r="280" spans="1:8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</row>
    <row r="281" spans="1:8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</row>
    <row r="282" spans="1:8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</row>
    <row r="283" spans="1:8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</row>
    <row r="284" spans="1:8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</row>
    <row r="285" spans="1:8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</row>
    <row r="286" spans="1:8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</row>
    <row r="287" spans="1:8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</row>
    <row r="288" spans="1:8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</row>
    <row r="289" spans="1:8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</row>
    <row r="290" spans="1:8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</row>
    <row r="291" spans="1:8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</row>
    <row r="292" spans="1:8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</row>
    <row r="293" spans="1:8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</row>
    <row r="294" spans="1:8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</row>
    <row r="295" spans="1:8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</row>
    <row r="296" spans="1:8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</row>
    <row r="297" spans="1:8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</row>
    <row r="298" spans="1:8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</row>
    <row r="299" spans="1:8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</row>
    <row r="300" spans="1:8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</row>
    <row r="301" spans="1:8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</row>
    <row r="302" spans="1:8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</row>
    <row r="303" spans="1:8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</row>
    <row r="304" spans="1:8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</row>
    <row r="305" spans="1:8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</row>
    <row r="306" spans="1:8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</row>
    <row r="307" spans="1:8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</row>
    <row r="308" spans="1:8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</row>
    <row r="309" spans="1:8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</row>
    <row r="310" spans="1:8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</row>
    <row r="311" spans="1:8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</row>
    <row r="312" spans="1:8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</row>
    <row r="313" spans="1:8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</row>
    <row r="314" spans="1:8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</row>
    <row r="315" spans="1:8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</row>
    <row r="316" spans="1:8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</row>
    <row r="317" spans="1:8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</row>
    <row r="318" spans="1:8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</row>
    <row r="319" spans="1:8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</row>
    <row r="320" spans="1:8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</row>
    <row r="321" spans="1:8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</row>
    <row r="322" spans="1:8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</row>
    <row r="323" spans="1:8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</row>
    <row r="324" spans="1:8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</row>
    <row r="325" spans="1:8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</row>
    <row r="326" spans="1:8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</row>
    <row r="327" spans="1:8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</row>
    <row r="328" spans="1:8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</row>
    <row r="329" spans="1:8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</row>
    <row r="330" spans="1:8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</row>
    <row r="331" spans="1:8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</row>
    <row r="332" spans="1:8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</row>
    <row r="333" spans="1:8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</row>
    <row r="334" spans="1:8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</row>
    <row r="335" spans="1:8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</row>
    <row r="336" spans="1:8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</row>
    <row r="337" spans="1:8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</row>
    <row r="338" spans="1:8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</row>
    <row r="339" spans="1:8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</row>
    <row r="340" spans="1:8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</row>
    <row r="341" spans="1:8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</row>
    <row r="342" spans="1:8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</row>
    <row r="343" spans="1:8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</row>
    <row r="344" spans="1:8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</row>
    <row r="345" spans="1:8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</row>
    <row r="346" spans="1:8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</row>
    <row r="347" spans="1:8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</row>
    <row r="348" spans="1:8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</row>
    <row r="349" spans="1:8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</row>
    <row r="350" spans="1:8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</row>
    <row r="351" spans="1:8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</row>
    <row r="352" spans="1:8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</row>
    <row r="353" spans="1:8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</row>
    <row r="354" spans="1:8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</row>
    <row r="355" spans="1:8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</row>
    <row r="356" spans="1:8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</row>
    <row r="357" spans="1:8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</row>
    <row r="358" spans="1:8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</row>
    <row r="359" spans="1:8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</row>
    <row r="360" spans="1:8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</row>
    <row r="361" spans="1:8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</row>
    <row r="362" spans="1:8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</row>
    <row r="363" spans="1:8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</row>
    <row r="364" spans="1:8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</row>
    <row r="365" spans="1:8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</row>
    <row r="366" spans="1:8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</row>
    <row r="367" spans="1:8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</row>
    <row r="368" spans="1:8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</row>
    <row r="369" spans="1:8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</row>
    <row r="370" spans="1:8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</row>
    <row r="371" spans="1:8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</row>
    <row r="372" spans="1:8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</row>
    <row r="373" spans="1:8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</row>
    <row r="374" spans="1:8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</row>
    <row r="375" spans="1:8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</row>
    <row r="376" spans="1:8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</row>
    <row r="377" spans="1:8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</row>
    <row r="378" spans="1:8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</row>
    <row r="379" spans="1:8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</row>
    <row r="380" spans="1:8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</row>
    <row r="381" spans="1:88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</row>
    <row r="382" spans="1:88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</row>
    <row r="383" spans="1:88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</row>
    <row r="384" spans="1:88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</row>
    <row r="385" spans="1:88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</row>
    <row r="386" spans="1:88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</row>
    <row r="387" spans="1:88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</row>
    <row r="388" spans="1:88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</row>
    <row r="389" spans="1:88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</row>
    <row r="390" spans="1:88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</row>
    <row r="391" spans="1:88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</row>
    <row r="392" spans="1:88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</row>
    <row r="393" spans="1:88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</row>
    <row r="394" spans="1:88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</row>
    <row r="395" spans="1:88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</row>
    <row r="396" spans="1:88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</row>
    <row r="397" spans="1:88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</row>
    <row r="398" spans="1:88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</row>
    <row r="399" spans="1:88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</row>
    <row r="400" spans="1:88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</row>
    <row r="401" spans="1:88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</row>
    <row r="402" spans="1:88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</row>
    <row r="403" spans="1:88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</row>
    <row r="404" spans="1:88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</row>
    <row r="405" spans="1:88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</row>
    <row r="406" spans="1:88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124</vt:i4>
      </vt:variant>
    </vt:vector>
  </HeadingPairs>
  <TitlesOfParts>
    <vt:vector size="130" baseType="lpstr">
      <vt:lpstr>Main</vt:lpstr>
      <vt:lpstr>Spot Capital calculation</vt:lpstr>
      <vt:lpstr>Statics</vt:lpstr>
      <vt:lpstr>RaceING FX</vt:lpstr>
      <vt:lpstr>Version Notes</vt:lpstr>
      <vt:lpstr>FTP curve</vt:lpstr>
      <vt:lpstr>Area_To_Copy</vt:lpstr>
      <vt:lpstr>AsOfDate</vt:lpstr>
      <vt:lpstr>Average_Remaining_Notional</vt:lpstr>
      <vt:lpstr>b</vt:lpstr>
      <vt:lpstr>Calculation_Details_Hide_From</vt:lpstr>
      <vt:lpstr>Calculation_Details_Hide_To</vt:lpstr>
      <vt:lpstr>Call_OR_Put</vt:lpstr>
      <vt:lpstr>Capital_Approach</vt:lpstr>
      <vt:lpstr>CCY</vt:lpstr>
      <vt:lpstr>CCY_InputProfile</vt:lpstr>
      <vt:lpstr>Country_Group</vt:lpstr>
      <vt:lpstr>Country_Of_Residence</vt:lpstr>
      <vt:lpstr>CSA_Frequency</vt:lpstr>
      <vt:lpstr>CSA_IA</vt:lpstr>
      <vt:lpstr>CSA_MTA_Threshold</vt:lpstr>
      <vt:lpstr>CvaCapDiversificationRatio</vt:lpstr>
      <vt:lpstr>CvaK_t_0</vt:lpstr>
      <vt:lpstr>CvaK_t_0_CEM</vt:lpstr>
      <vt:lpstr>CvaK_t_0_IMM_proxy</vt:lpstr>
      <vt:lpstr>CvaK_t_0_SA_CCR</vt:lpstr>
      <vt:lpstr>CvaKVA_Table_label</vt:lpstr>
      <vt:lpstr>DefK_t_0</vt:lpstr>
      <vt:lpstr>DefK_t_0_CEM</vt:lpstr>
      <vt:lpstr>DefK_t_0_IMM_Proxy</vt:lpstr>
      <vt:lpstr>DefK_t_0_SA_CCR</vt:lpstr>
      <vt:lpstr>DefKVA_Table_label</vt:lpstr>
      <vt:lpstr>Display_CvaKVA</vt:lpstr>
      <vt:lpstr>Display_CvaRWA</vt:lpstr>
      <vt:lpstr>Display_DefKVA</vt:lpstr>
      <vt:lpstr>Display_DefRWA</vt:lpstr>
      <vt:lpstr>Display_EADchangeVsCEM</vt:lpstr>
      <vt:lpstr>Display_EL</vt:lpstr>
      <vt:lpstr>Display_FVA</vt:lpstr>
      <vt:lpstr>EarlyTerminationDate</vt:lpstr>
      <vt:lpstr>Effective_Regulated</vt:lpstr>
      <vt:lpstr>Enable_CVA_K</vt:lpstr>
      <vt:lpstr>Enable_Default_K</vt:lpstr>
      <vt:lpstr>Enable_FTP_Scalar</vt:lpstr>
      <vt:lpstr>Enable_FVA</vt:lpstr>
      <vt:lpstr>Exposure_Class</vt:lpstr>
      <vt:lpstr>factor</vt:lpstr>
      <vt:lpstr>FTP_Scalar</vt:lpstr>
      <vt:lpstr>FX_CCYEUR</vt:lpstr>
      <vt:lpstr>Hazard_Rate_Date</vt:lpstr>
      <vt:lpstr>Hazard_Rate_Rating</vt:lpstr>
      <vt:lpstr>Hazard_Rate_Value</vt:lpstr>
      <vt:lpstr>Input_Date</vt:lpstr>
      <vt:lpstr>Input_ENE</vt:lpstr>
      <vt:lpstr>Input_ENE_Disc</vt:lpstr>
      <vt:lpstr>Input_ENE_NonDisc</vt:lpstr>
      <vt:lpstr>Input_EPE</vt:lpstr>
      <vt:lpstr>Input_EPE_Disc</vt:lpstr>
      <vt:lpstr>Input_EPE_NonDisc</vt:lpstr>
      <vt:lpstr>Input_FTP_spread</vt:lpstr>
      <vt:lpstr>Input_FTP_tenor</vt:lpstr>
      <vt:lpstr>Input_Remaining_Notional</vt:lpstr>
      <vt:lpstr>Input_ZC_Date</vt:lpstr>
      <vt:lpstr>Input_ZC_FTP_Date</vt:lpstr>
      <vt:lpstr>Input_ZC_FTP_Value</vt:lpstr>
      <vt:lpstr>Input_ZC_Value</vt:lpstr>
      <vt:lpstr>Is_Basis</vt:lpstr>
      <vt:lpstr>Is_CSA</vt:lpstr>
      <vt:lpstr>Is_Option</vt:lpstr>
      <vt:lpstr>Is_RWR_Commodity</vt:lpstr>
      <vt:lpstr>Is_WWR_Equity</vt:lpstr>
      <vt:lpstr>LGD</vt:lpstr>
      <vt:lpstr>Mapping_Country_vs_Group</vt:lpstr>
      <vt:lpstr>Mapping_Group_vs_Haircut</vt:lpstr>
      <vt:lpstr>Mapping_SACCR_Factors</vt:lpstr>
      <vt:lpstr>Maturity</vt:lpstr>
      <vt:lpstr>Notional_in_CCY</vt:lpstr>
      <vt:lpstr>Option_Last_Expiry</vt:lpstr>
      <vt:lpstr>Option_Moneyness</vt:lpstr>
      <vt:lpstr>Output_CIC</vt:lpstr>
      <vt:lpstr>Output_CIC_Breakdown</vt:lpstr>
      <vt:lpstr>Output_CvaK</vt:lpstr>
      <vt:lpstr>Output_CvaK_cost</vt:lpstr>
      <vt:lpstr>Output_Date</vt:lpstr>
      <vt:lpstr>Output_DefK</vt:lpstr>
      <vt:lpstr>Output_DefK_cost</vt:lpstr>
      <vt:lpstr>Output_DF</vt:lpstr>
      <vt:lpstr>Output_DF_FTP</vt:lpstr>
      <vt:lpstr>Output_DP_CP</vt:lpstr>
      <vt:lpstr>Output_DP_ING</vt:lpstr>
      <vt:lpstr>Output_EffectiveMaturity</vt:lpstr>
      <vt:lpstr>Output_EffEE</vt:lpstr>
      <vt:lpstr>Output_Expected_Loss</vt:lpstr>
      <vt:lpstr>Output_FTP_spread</vt:lpstr>
      <vt:lpstr>Output_FTP_ZC</vt:lpstr>
      <vt:lpstr>Output_FundingBenefit</vt:lpstr>
      <vt:lpstr>Output_FundingCost</vt:lpstr>
      <vt:lpstr>Output_FVA</vt:lpstr>
      <vt:lpstr>Output_HazardRate_CP</vt:lpstr>
      <vt:lpstr>Output_HazardRate_ING</vt:lpstr>
      <vt:lpstr>Output_LGD</vt:lpstr>
      <vt:lpstr>Output_Maturity</vt:lpstr>
      <vt:lpstr>Output_Remaining_Notional</vt:lpstr>
      <vt:lpstr>Output_SP_CP</vt:lpstr>
      <vt:lpstr>Output_SP_ING</vt:lpstr>
      <vt:lpstr>Output_ZC</vt:lpstr>
      <vt:lpstr>p_1</vt:lpstr>
      <vt:lpstr>p_2</vt:lpstr>
      <vt:lpstr>p_3</vt:lpstr>
      <vt:lpstr>p_4</vt:lpstr>
      <vt:lpstr>p_5</vt:lpstr>
      <vt:lpstr>p_6</vt:lpstr>
      <vt:lpstr>PD1Y_Table</vt:lpstr>
      <vt:lpstr>Product_Type</vt:lpstr>
      <vt:lpstr>Product_Type_Main</vt:lpstr>
      <vt:lpstr>Product_Type_SA_CCR</vt:lpstr>
      <vt:lpstr>RaceING_FX</vt:lpstr>
      <vt:lpstr>Rating_CP</vt:lpstr>
      <vt:lpstr>Rating_ING</vt:lpstr>
      <vt:lpstr>Regulatory_Start_Date</vt:lpstr>
      <vt:lpstr>Remaining_Maturity</vt:lpstr>
      <vt:lpstr>RoC_Hurdle</vt:lpstr>
      <vt:lpstr>RoE</vt:lpstr>
      <vt:lpstr>RWR_Haircut</vt:lpstr>
      <vt:lpstr>RWR_Revalutation_Frequency</vt:lpstr>
      <vt:lpstr>Spot_MTM_in_CCY</vt:lpstr>
      <vt:lpstr>Total_Ann_Sales</vt:lpstr>
      <vt:lpstr>Total_DefK_cost</vt:lpstr>
      <vt:lpstr>Trade_MtM</vt:lpstr>
      <vt:lpstr>Underlying_Maturity_Date</vt:lpstr>
    </vt:vector>
  </TitlesOfParts>
  <Company>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Jean-Alphonse, K. (Kevin)</dc:creator>
  <cp:lastModifiedBy>Sclison, A.A. (Alexandros)</cp:lastModifiedBy>
  <dcterms:created xsi:type="dcterms:W3CDTF">2017-01-26T08:37:41Z</dcterms:created>
  <dcterms:modified xsi:type="dcterms:W3CDTF">2021-10-22T07:43:44Z</dcterms:modified>
</cp:coreProperties>
</file>